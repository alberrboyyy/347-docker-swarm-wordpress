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2.xml" ContentType="application/vnd.ms-office.chart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style1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ournal de travail" sheetId="1" state="visible" r:id="rId3"/>
    <sheet name="Plannification" sheetId="2" state="visible" r:id="rId4"/>
    <sheet name="Initiale VS Effective" sheetId="3" state="visible" r:id="rId5"/>
  </sheets>
  <definedNames>
    <definedName function="false" hidden="false" localSheetId="0" name="_xlnm._FilterDatabase" vbProcedure="false">'Journal de travail'!$A$6:$G$6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<sst xmlns="http://schemas.openxmlformats.org/spreadsheetml/2006/main" count="68" uniqueCount="48">
  <si>
    <t xml:space="preserve">Journal de travail</t>
  </si>
  <si>
    <t xml:space="preserve">Auteur:</t>
  </si>
  <si>
    <t xml:space="preserve">Nom Prénom</t>
  </si>
  <si>
    <t xml:space="preserve">Projet:</t>
  </si>
  <si>
    <t xml:space="preserve">P_DevOps 347 - Docker Swarm Wordpress</t>
  </si>
  <si>
    <t xml:space="preserve">Temps total:</t>
  </si>
  <si>
    <t xml:space="preserve">Date:</t>
  </si>
  <si>
    <t xml:space="preserve">29 août 2025 à 8h50 au 31 octobre 2025 à 11h25</t>
  </si>
  <si>
    <t xml:space="preserve">Temps</t>
  </si>
  <si>
    <t xml:space="preserve">Semaine</t>
  </si>
  <si>
    <t xml:space="preserve">Jour</t>
  </si>
  <si>
    <t xml:space="preserve">h.      </t>
  </si>
  <si>
    <t xml:space="preserve">min.</t>
  </si>
  <si>
    <t xml:space="preserve">Type</t>
  </si>
  <si>
    <t xml:space="preserve">Description</t>
  </si>
  <si>
    <t xml:space="preserve">Remarques/problèmes</t>
  </si>
  <si>
    <t xml:space="preserve">Analyse</t>
  </si>
  <si>
    <t xml:space="preserve">Lecture et analyse du cahier des charges</t>
  </si>
  <si>
    <t xml:space="preserve">Choix de l'architecture</t>
  </si>
  <si>
    <t xml:space="preserve">1 manager + 2 workers, NFS partagé, réseaux frontend/backend</t>
  </si>
  <si>
    <t xml:space="preserve">Implémentation</t>
  </si>
  <si>
    <t xml:space="preserve">Création des 3 VM Alpine sur le poste de l’école</t>
  </si>
  <si>
    <t xml:space="preserve">Préparation de mon mac pour l’installation des vms sr libvirt/qemu</t>
  </si>
  <si>
    <t xml:space="preserve">Test</t>
  </si>
  <si>
    <t xml:space="preserve">Création des 3 VM Alpine sur mon mac </t>
  </si>
  <si>
    <t xml:space="preserve">Documentation</t>
  </si>
  <si>
    <t xml:space="preserve">Installation de Docker sur les 3 VM et du serveur NFS sur le manager</t>
  </si>
  <si>
    <t xml:space="preserve">Absent</t>
  </si>
  <si>
    <t xml:space="preserve">Initialisation du Swarm et ajout des 2 workers</t>
  </si>
  <si>
    <t xml:space="preserve">Test du montage NFS depuis un worker et du réseau overlay</t>
  </si>
  <si>
    <t xml:space="preserve">Redaction du docker-compose</t>
  </si>
  <si>
    <t xml:space="preserve">Déploiement de la stack et tests d'accès par IP</t>
  </si>
  <si>
    <t xml:space="preserve">Ajout de Swarmpit dans la stack</t>
  </si>
  <si>
    <t xml:space="preserve">Simplification du compose</t>
  </si>
  <si>
    <t xml:space="preserve">suppression du superflu, Swarmpit réduit à 2 conteneurs</t>
  </si>
  <si>
    <t xml:space="preserve">Test de tolérance aux pannes : arrêt d'un worker, site toujours disponible</t>
  </si>
  <si>
    <t xml:space="preserve">Revue du Github, README et compose </t>
  </si>
  <si>
    <t xml:space="preserve">Total heures TPI</t>
  </si>
  <si>
    <t xml:space="preserve">heures</t>
  </si>
  <si>
    <t xml:space="preserve">Plannification Effective</t>
  </si>
  <si>
    <t xml:space="preserve">Plannification Initiale</t>
  </si>
  <si>
    <t xml:space="preserve">Heures</t>
  </si>
  <si>
    <t xml:space="preserve">Minutes</t>
  </si>
  <si>
    <t xml:space="preserve">Total </t>
  </si>
  <si>
    <t xml:space="preserve">Type d'activité</t>
  </si>
  <si>
    <t xml:space="preserve">Total heures</t>
  </si>
  <si>
    <t xml:space="preserve">en %</t>
  </si>
  <si>
    <t xml:space="preserve">Total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</si>
</sst>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d\-mmm"/>
    <numFmt numFmtId="166" formatCode="h:mm"/>
    <numFmt numFmtId="167" formatCode="0&quot; h&quot;"/>
    <numFmt numFmtId="168" formatCode="0.00"/>
    <numFmt numFmtId="169" formatCode="dd/mm/yyyy;@"/>
    <numFmt numFmtId="170" formatCode="dd\ mmm"/>
    <numFmt numFmtId="171" formatCode="00&quot; min&quot;"/>
    <numFmt numFmtId="172" formatCode="hh:mm;@"/>
    <numFmt numFmtId="173" formatCode="0"/>
    <numFmt numFmtId="174" formatCode="0.00%"/>
    <numFmt numFmtId="175" formatCode="0%"/>
    <numFmt numFmtId="176" formatCode="00%"/>
  </numFmts>
  <fonts count="27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color rgb="FF0070C0"/>
      <name val="Calibri"/>
      <family val="2"/>
      <charset val="1"/>
    </font>
    <font>
      <b val="true"/>
      <sz val="18"/>
      <name val="Calibri"/>
      <family val="2"/>
      <charset val="1"/>
    </font>
    <font>
      <sz val="18"/>
      <name val="Calibri"/>
      <family val="2"/>
      <charset val="1"/>
    </font>
    <font>
      <sz val="18"/>
      <color rgb="FFFF0000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4"/>
      <name val="Calibri"/>
      <family val="2"/>
      <charset val="1"/>
    </font>
    <font>
      <sz val="12"/>
      <name val="Calibri"/>
      <family val="2"/>
      <charset val="1"/>
    </font>
    <font>
      <sz val="14"/>
      <color theme="1"/>
      <name val="Calibri"/>
      <family val="2"/>
      <charset val="1"/>
    </font>
    <font>
      <b val="true"/>
      <sz val="16"/>
      <color theme="1"/>
      <name val="Calibri"/>
      <family val="2"/>
      <charset val="1"/>
    </font>
    <font>
      <b val="true"/>
      <sz val="16"/>
      <color rgb="FF0070C0"/>
      <name val="Calibri"/>
      <family val="2"/>
      <charset val="1"/>
    </font>
    <font>
      <b val="true"/>
      <sz val="14"/>
      <color theme="1"/>
      <name val="Calibri"/>
      <family val="2"/>
      <charset val="1"/>
    </font>
    <font>
      <sz val="14"/>
      <color rgb="FF0070C0"/>
      <name val="Calibri"/>
      <family val="2"/>
      <charset val="1"/>
    </font>
    <font>
      <sz val="14"/>
      <color theme="0"/>
      <name val="Calibri"/>
      <family val="2"/>
      <charset val="1"/>
    </font>
    <font>
      <sz val="14"/>
      <name val="Calibri"/>
      <family val="2"/>
      <charset val="1"/>
    </font>
    <font>
      <b val="true"/>
      <sz val="16"/>
      <color rgb="FF595959"/>
      <name val="Calibri"/>
      <family val="2"/>
    </font>
    <font>
      <sz val="16"/>
      <color rgb="FFFFFFFF"/>
      <name val="Calibri"/>
      <family val="2"/>
    </font>
    <font>
      <sz val="16"/>
      <color rgb="FF595959"/>
      <name val="Calibri"/>
      <family val="2"/>
    </font>
    <font>
      <b val="true"/>
      <sz val="20"/>
      <color rgb="FF000000"/>
      <name val="Calibri"/>
      <family val="2"/>
    </font>
    <font>
      <b val="true"/>
      <sz val="16"/>
      <color rgb="FF000000"/>
      <name val="Calibri"/>
      <family val="2"/>
    </font>
    <font>
      <b val="true"/>
      <sz val="14"/>
      <color rgb="FF595959"/>
      <name val="Calibri"/>
      <family val="2"/>
    </font>
    <font>
      <sz val="10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2" tint="-0.1"/>
        <bgColor rgb="FFF2F2F2"/>
      </patternFill>
    </fill>
    <fill>
      <patternFill patternType="solid">
        <fgColor theme="0" tint="-0.25"/>
        <bgColor rgb="FFDEC18C"/>
      </patternFill>
    </fill>
    <fill>
      <patternFill patternType="solid">
        <fgColor theme="0" tint="-0.15"/>
        <bgColor rgb="FFF8EBCA"/>
      </patternFill>
    </fill>
    <fill>
      <patternFill patternType="solid">
        <fgColor theme="2" tint="-0.5"/>
        <bgColor rgb="FFDFA71C"/>
      </patternFill>
    </fill>
    <fill>
      <patternFill patternType="solid">
        <fgColor rgb="B30070C0"/>
        <bgColor rgb="FF0070C0"/>
      </patternFill>
    </fill>
    <fill>
      <patternFill patternType="solid">
        <fgColor theme="0" tint="-0.05"/>
        <bgColor rgb="FFFFFFFF"/>
      </patternFill>
    </fill>
    <fill>
      <patternFill patternType="solid">
        <fgColor rgb="FF7030A0"/>
        <bgColor rgb="B37030A0"/>
      </patternFill>
    </fill>
    <fill>
      <patternFill patternType="solid">
        <fgColor rgb="FF00B0F0"/>
        <bgColor rgb="B300B0F0"/>
      </patternFill>
    </fill>
    <fill>
      <patternFill patternType="solid">
        <fgColor rgb="FFDFC18D"/>
        <bgColor rgb="FFDEC18C"/>
      </patternFill>
    </fill>
    <fill>
      <patternFill patternType="solid">
        <fgColor theme="0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thin">
        <color theme="1"/>
      </top>
      <bottom/>
      <diagonal/>
    </border>
    <border diagonalUp="false" diagonalDown="false">
      <left style="hair">
        <color theme="0" tint="-0.25"/>
      </left>
      <right style="hair">
        <color theme="0" tint="-0.25"/>
      </right>
      <top style="hair">
        <color theme="0" tint="-0.25"/>
      </top>
      <bottom style="hair">
        <color theme="0" tint="-0.25"/>
      </bottom>
      <diagonal/>
    </border>
    <border diagonalUp="false" diagonalDown="false">
      <left style="thin">
        <color theme="0" tint="-0.15"/>
      </left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8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6" fontId="10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1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11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11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4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7" fontId="0" fillId="4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0" fillId="4" borderId="1" xfId="0" applyFont="false" applyBorder="true" applyAlignment="true" applyProtection="true">
      <alignment horizontal="left" vertical="bottom" textRotation="0" wrapText="false" indent="0" shrinkToFit="false"/>
      <protection locked="false" hidden="false"/>
    </xf>
    <xf numFmtId="164" fontId="0" fillId="4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false" hidden="false"/>
    </xf>
    <xf numFmtId="164" fontId="0" fillId="4" borderId="1" xfId="0" applyFont="false" applyBorder="true" applyAlignment="true" applyProtection="true">
      <alignment horizontal="general" vertical="bottom" textRotation="0" wrapText="true" indent="0" shrinkToFit="false"/>
      <protection locked="fals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71" fontId="0" fillId="0" borderId="0" xfId="0" applyFont="fals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false" hidden="false"/>
    </xf>
    <xf numFmtId="170" fontId="0" fillId="4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7" fontId="0" fillId="4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71" fontId="0" fillId="4" borderId="0" xfId="0" applyFont="fals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4" borderId="0" xfId="0" applyFont="true" applyBorder="false" applyAlignment="true" applyProtection="true">
      <alignment horizontal="general" vertical="bottom" textRotation="0" wrapText="true" indent="0" shrinkToFit="false"/>
      <protection locked="fals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false" hidden="false"/>
    </xf>
    <xf numFmtId="170" fontId="0" fillId="4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4" borderId="0" xfId="0" applyFont="false" applyBorder="false" applyAlignment="true" applyProtection="true">
      <alignment horizontal="general" vertical="bottom" textRotation="0" wrapText="true" indent="0" shrinkToFit="false"/>
      <protection locked="fals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13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15" fillId="0" borderId="0" xfId="0" applyFont="true" applyBorder="false" applyAlignment="true" applyProtection="true">
      <alignment horizontal="right" vertical="bottom" textRotation="0" wrapText="false" indent="0" shrinkToFit="false"/>
      <protection locked="fals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1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2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1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13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3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3" fillId="4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4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3" fillId="5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4" fontId="13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3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4" fontId="17" fillId="0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6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7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4" fontId="13" fillId="7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6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17" fillId="7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8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8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9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9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1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11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4" fontId="13" fillId="11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1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19" fillId="11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16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13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16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BFBFBF"/>
          <bgColor rgb="FF000000"/>
        </patternFill>
      </fill>
    </dxf>
    <dxf>
      <fill>
        <patternFill patternType="solid">
          <fgColor rgb="FFF8EBCA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0070C0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DFA71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color rgb="FFFFFFFF"/>
      </font>
      <fill>
        <patternFill>
          <bgColor theme="2" tint="-0.25"/>
        </patternFill>
      </fill>
    </dxf>
    <dxf>
      <font>
        <color rgb="FFFFFFFF"/>
      </font>
      <fill>
        <patternFill>
          <bgColor theme="7" tint="-0.25"/>
        </patternFill>
      </fill>
    </dxf>
    <dxf>
      <font>
        <color rgb="FFFFFFFF"/>
      </font>
      <fill>
        <patternFill>
          <bgColor rgb="FF92D050"/>
        </patternFill>
      </fill>
    </dxf>
    <dxf>
      <font>
        <color rgb="FFFFFFFF"/>
      </font>
      <fill>
        <patternFill>
          <bgColor rgb="FFCCCC00"/>
        </patternFill>
      </fill>
    </dxf>
    <dxf>
      <font>
        <color rgb="FFFFFFFF"/>
      </font>
      <fill>
        <patternFill>
          <bgColor theme="1" tint="0.4999"/>
        </patternFill>
      </fill>
    </dxf>
    <dxf>
      <fill>
        <patternFill>
          <bgColor rgb="FF00B0F0"/>
        </patternFill>
      </fill>
    </dxf>
    <dxf>
      <font>
        <color rgb="FFFFFFFF"/>
      </font>
      <fill>
        <patternFill>
          <bgColor rgb="FF7030A0"/>
        </patternFill>
      </fill>
    </dxf>
    <dxf>
      <fill>
        <patternFill>
          <bgColor theme="2" tint="-0.5"/>
        </patternFill>
      </fill>
    </dxf>
    <dxf>
      <font>
        <color rgb="FFFFFFFF"/>
      </font>
      <fill>
        <patternFill>
          <bgColor rgb="FF007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9595B"/>
      <rgbColor rgb="FF800080"/>
      <rgbColor rgb="B30070C0"/>
      <rgbColor rgb="FFBFBFBF"/>
      <rgbColor rgb="FF7F7F7F"/>
      <rgbColor rgb="FF9999FF"/>
      <rgbColor rgb="FF7030A0"/>
      <rgbColor rgb="FFF8EBCA"/>
      <rgbColor rgb="FFF2F2F2"/>
      <rgbColor rgb="FF660066"/>
      <rgbColor rgb="B3DFA71C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DFC18D"/>
      <rgbColor rgb="FFDEC18C"/>
      <rgbColor rgb="FFF0D288"/>
      <rgbColor rgb="FF3366FF"/>
      <rgbColor rgb="B300B0F0"/>
      <rgbColor rgb="FF92D050"/>
      <rgbColor rgb="FFCCCC00"/>
      <rgbColor rgb="FFDFA71C"/>
      <rgbColor rgb="FFFF6600"/>
      <rgbColor rgb="FF606372"/>
      <rgbColor rgb="FF8B8B8B"/>
      <rgbColor rgb="FF003366"/>
      <rgbColor rgb="FF339966"/>
      <rgbColor rgb="FF003300"/>
      <rgbColor rgb="FF333300"/>
      <rgbColor rgb="FF993300"/>
      <rgbColor rgb="B37030A0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7" Type="http://schemas.openxmlformats.org/officeDocument/2006/relationships/customXml" Target="../customXml/item3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600" b="1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Plannification Effective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spPr>
            <a:solidFill>
              <a:srgbClr val="606372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DFA71C"/>
              </a:solidFill>
              <a:ln w="19080">
                <a:solidFill>
                  <a:schemeClr val="lt1"/>
                </a:solidFill>
                <a:round/>
              </a:ln>
            </c:spPr>
          </c:dPt>
          <c:dPt>
            <c:idx val="1"/>
            <c:spPr>
              <a:solidFill>
                <a:srgbClr val="0070C0"/>
              </a:solidFill>
              <a:ln w="19080">
                <a:solidFill>
                  <a:schemeClr val="lt1"/>
                </a:solidFill>
                <a:round/>
              </a:ln>
            </c:spPr>
          </c:dPt>
          <c:dPt>
            <c:idx val="2"/>
            <c:spPr>
              <a:solidFill>
                <a:srgbClr val="7030A0"/>
              </a:solidFill>
              <a:ln w="19080">
                <a:solidFill>
                  <a:schemeClr val="lt1"/>
                </a:solidFill>
                <a:round/>
              </a:ln>
            </c:spPr>
          </c:dPt>
          <c:dPt>
            <c:idx val="3"/>
            <c:spPr>
              <a:solidFill>
                <a:srgbClr val="00B0F0"/>
              </a:solidFill>
              <a:ln w="19080">
                <a:solidFill>
                  <a:schemeClr val="lt1"/>
                </a:solidFill>
                <a:round/>
              </a:ln>
            </c:spPr>
          </c:dPt>
          <c:dPt>
            <c:idx val="4"/>
            <c:spPr>
              <a:solidFill>
                <a:srgbClr val="DEC18C"/>
              </a:solidFill>
              <a:ln w="19080">
                <a:solidFill>
                  <a:schemeClr val="lt1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600" b="0" u="none" strike="noStrike">
                      <a:solidFill>
                        <a:schemeClr val="bg1"/>
                      </a:solidFill>
                      <a:uFillTx/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sz="1600" b="0" u="none" strike="noStrike">
                      <a:solidFill>
                        <a:schemeClr val="bg1"/>
                      </a:solidFill>
                      <a:uFillTx/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sz="1600" b="0" u="none" strike="noStrike">
                      <a:solidFill>
                        <a:schemeClr val="bg1"/>
                      </a:solidFill>
                      <a:uFillTx/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sz="1600" b="0" u="none" strike="noStrike">
                      <a:solidFill>
                        <a:schemeClr val="bg1"/>
                      </a:solidFill>
                      <a:uFillTx/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sz="1600" b="0" u="none" strike="noStrike">
                      <a:solidFill>
                        <a:schemeClr val="bg1"/>
                      </a:solidFill>
                      <a:uFillTx/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sz="1600" b="0" u="none" strike="noStrike">
                    <a:solidFill>
                      <a:schemeClr val="bg1"/>
                    </a:solidFill>
                    <a:uFillTx/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eparator>
</c:separator>
            <c:showLeaderLines val="1"/>
            <c:leaderLines>
              <c:spPr>
                <a:ln w="9360">
                  <a:solidFill>
                    <a:schemeClr val="dk1">
                      <a:lumMod val="35000"/>
                      <a:lumOff val="65000"/>
                    </a:schemeClr>
                  </a:solidFill>
                </a:ln>
              </c:spPr>
            </c:leaderLines>
          </c:dLbls>
          <c:cat>
            <c:strRef>
              <c:f>Plannification!$E$6:$E$10</c:f>
              <c:strCache>
                <c:ptCount val="5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  <c:pt idx="4">
                  <c:v>Absent</c:v>
                </c:pt>
              </c:strCache>
            </c:strRef>
          </c:cat>
          <c:val>
            <c:numRef>
              <c:f>Plannification!$C$6:$C$10</c:f>
              <c:numCache>
                <c:formatCode>General</c:formatCode>
                <c:ptCount val="5"/>
                <c:pt idx="0">
                  <c:v>150</c:v>
                </c:pt>
                <c:pt idx="1">
                  <c:v>645</c:v>
                </c:pt>
                <c:pt idx="2">
                  <c:v>165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600" b="0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Calibri"/>
            </a:defRPr>
          </a:pPr>
        </a:p>
      </c:txPr>
    </c:legend>
    <c:plotVisOnly val="0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600" b="1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rPr>
              <a:t>Plannification Initiale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spPr>
            <a:solidFill>
              <a:srgbClr val="606372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DFA71C">
                  <a:alpha val="70000"/>
                </a:srgbClr>
              </a:solidFill>
              <a:ln w="19080">
                <a:solidFill>
                  <a:schemeClr val="lt1"/>
                </a:solidFill>
                <a:round/>
              </a:ln>
            </c:spPr>
          </c:dPt>
          <c:dPt>
            <c:idx val="1"/>
            <c:spPr>
              <a:solidFill>
                <a:srgbClr val="0070C0">
                  <a:alpha val="70000"/>
                </a:srgbClr>
              </a:solidFill>
              <a:ln w="19080">
                <a:solidFill>
                  <a:schemeClr val="lt1"/>
                </a:solidFill>
                <a:round/>
              </a:ln>
            </c:spPr>
          </c:dPt>
          <c:dPt>
            <c:idx val="2"/>
            <c:spPr>
              <a:solidFill>
                <a:srgbClr val="7030A0">
                  <a:alpha val="70000"/>
                </a:srgbClr>
              </a:solidFill>
              <a:ln w="19080">
                <a:solidFill>
                  <a:schemeClr val="lt1"/>
                </a:solidFill>
                <a:round/>
              </a:ln>
            </c:spPr>
          </c:dPt>
          <c:dPt>
            <c:idx val="3"/>
            <c:spPr>
              <a:solidFill>
                <a:srgbClr val="00B0F0">
                  <a:alpha val="70000"/>
                </a:srgbClr>
              </a:solidFill>
              <a:ln w="19080">
                <a:solidFill>
                  <a:schemeClr val="lt1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600" b="0" u="none" strike="noStrike">
                      <a:solidFill>
                        <a:schemeClr val="bg1"/>
                      </a:solidFill>
                      <a:uFillTx/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sz="1600" b="0" u="none" strike="noStrike">
                      <a:solidFill>
                        <a:schemeClr val="bg1"/>
                      </a:solidFill>
                      <a:uFillTx/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sz="1600" b="0" u="none" strike="noStrike">
                      <a:solidFill>
                        <a:schemeClr val="bg1"/>
                      </a:solidFill>
                      <a:uFillTx/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sz="1600" b="0" u="none" strike="noStrike">
                      <a:solidFill>
                        <a:schemeClr val="bg1"/>
                      </a:solidFill>
                      <a:uFillTx/>
                      <a:latin typeface="Calibri"/>
                    </a:defRPr>
                  </a:pPr>
                </a:p>
              </c:txPr>
              <c:dLblPos val="ctr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sz="1600" b="0" u="none" strike="noStrike">
                    <a:solidFill>
                      <a:schemeClr val="bg1"/>
                    </a:solidFill>
                    <a:uFillTx/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1"/>
            <c:separator>
</c:separator>
            <c:showLeaderLines val="1"/>
            <c:leaderLines>
              <c:spPr>
                <a:ln w="9360">
                  <a:solidFill>
                    <a:schemeClr val="dk1">
                      <a:lumMod val="35000"/>
                      <a:lumOff val="65000"/>
                    </a:schemeClr>
                  </a:solidFill>
                </a:ln>
              </c:spPr>
            </c:leaderLines>
          </c:dLbls>
          <c:cat>
            <c:strRef>
              <c:f>Plannification!$L$6:$L$10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Plannification!$N$6:$N$10</c:f>
              <c:numCache>
                <c:formatCode>0.00%</c:formatCode>
                <c:ptCount val="4"/>
                <c:pt idx="0">
                  <c:v>0.2</c:v>
                </c:pt>
                <c:pt idx="1">
                  <c:v>0.35</c:v>
                </c:pt>
                <c:pt idx="2">
                  <c:v>0.05</c:v>
                </c:pt>
                <c:pt idx="3">
                  <c:v>0.4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600" b="0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GB" sz="2000" b="1" u="none" strike="noStrike">
                <a:solidFill>
                  <a:schemeClr val="tx1"/>
                </a:solidFill>
                <a:uFillTx/>
                <a:latin typeface="Calibri"/>
              </a:rPr>
              <a:t>Plannification Initiale VS Effective</a:t>
            </a:r>
          </a:p>
        </c:rich>
      </c:tx>
      <c:layout>
        <c:manualLayout>
          <c:xMode val="edge"/>
          <c:yMode val="edge"/>
          <c:x val="0.348013838733301"/>
          <c:y val="0.0203028385023614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169196191823026"/>
          <c:y val="0.0889527240858854"/>
          <c:w val="0.966362786939064"/>
          <c:h val="0.79356346462826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Plannification!$L$4</c:f>
              <c:strCache>
                <c:ptCount val="1"/>
                <c:pt idx="0">
                  <c:v>Plannification Initiale</c:v>
                </c:pt>
              </c:strCache>
            </c:strRef>
          </c:tx>
          <c:spPr>
            <a:solidFill>
              <a:srgbClr val="606372"/>
            </a:solidFill>
            <a:ln w="1260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606372"/>
              </a:solidFill>
              <a:ln w="12600">
                <a:noFill/>
              </a:ln>
            </c:spPr>
          </c:dPt>
          <c:dPt>
            <c:idx val="1"/>
            <c:invertIfNegative val="0"/>
            <c:spPr>
              <a:solidFill>
                <a:srgbClr val="606372"/>
              </a:solidFill>
              <a:ln w="12600">
                <a:noFill/>
              </a:ln>
            </c:spPr>
          </c:dPt>
          <c:dPt>
            <c:idx val="2"/>
            <c:invertIfNegative val="0"/>
            <c:spPr>
              <a:solidFill>
                <a:srgbClr val="606372"/>
              </a:solidFill>
              <a:ln w="12600">
                <a:noFill/>
              </a:ln>
            </c:spPr>
          </c:dPt>
          <c:dPt>
            <c:idx val="3"/>
            <c:invertIfNegative val="0"/>
            <c:spPr>
              <a:solidFill>
                <a:srgbClr val="606372"/>
              </a:solidFill>
              <a:ln w="12600">
                <a:noFill/>
              </a:ln>
            </c:spPr>
          </c:dPt>
          <c:dLbls>
            <c:dLbl>
              <c:idx val="0"/>
              <c:layout>
                <c:manualLayout>
                  <c:x val="-0.0253025302530253"/>
                  <c:y val="0.00507185122569732"/>
                </c:manualLayout>
              </c:layout>
              <c:numFmt formatCode="0%" sourceLinked="0"/>
              <c:txPr>
                <a:bodyPr wrap="square"/>
                <a:lstStyle/>
                <a:p>
                  <a:pPr>
                    <a:defRPr sz="1600" b="1" u="none" strike="noStrike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layout>
                <c:manualLayout>
                  <c:x val="-0.0253025302530253"/>
                  <c:y val="0.00676246830092984"/>
                </c:manualLayout>
              </c:layout>
              <c:numFmt formatCode="0%" sourceLinked="0"/>
              <c:txPr>
                <a:bodyPr wrap="square"/>
                <a:lstStyle/>
                <a:p>
                  <a:pPr>
                    <a:defRPr sz="1600" b="1" u="none" strike="noStrike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layout>
                <c:manualLayout>
                  <c:x val="-0.0264026402640264"/>
                  <c:y val="0.00507185122569738"/>
                </c:manualLayout>
              </c:layout>
              <c:numFmt formatCode="0%" sourceLinked="0"/>
              <c:txPr>
                <a:bodyPr wrap="square"/>
                <a:lstStyle/>
                <a:p>
                  <a:pPr>
                    <a:defRPr sz="1600" b="1" u="none" strike="noStrike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layout>
                <c:manualLayout>
                  <c:x val="-0.0253025302530253"/>
                  <c:y val="0.00507185122569732"/>
                </c:manualLayout>
              </c:layout>
              <c:numFmt formatCode="0%" sourceLinked="0"/>
              <c:txPr>
                <a:bodyPr wrap="square"/>
                <a:lstStyle/>
                <a:p>
                  <a:pPr>
                    <a:defRPr sz="1600" b="1" u="none" strike="noStrike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numFmt formatCode="0%" sourceLinked="0"/>
            <c:txPr>
              <a:bodyPr wrap="square"/>
              <a:lstStyle/>
              <a:p>
                <a:pPr>
                  <a:defRPr sz="1600" b="1" u="none" strike="noStrike">
                    <a:solidFill>
                      <a:schemeClr val="tx1">
                        <a:lumMod val="65000"/>
                        <a:lumOff val="35000"/>
                      </a:schemeClr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Plannification!$L$6:$L$10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Plannification!$N$6:$N$10</c:f>
              <c:numCache>
                <c:formatCode>0.00%</c:formatCode>
                <c:ptCount val="4"/>
                <c:pt idx="0">
                  <c:v>0.2</c:v>
                </c:pt>
                <c:pt idx="1">
                  <c:v>0.35</c:v>
                </c:pt>
                <c:pt idx="2">
                  <c:v>0.05</c:v>
                </c:pt>
                <c:pt idx="3">
                  <c:v>0.4</c:v>
                </c:pt>
              </c:numCache>
            </c:numRef>
          </c:val>
        </c:ser>
        <c:ser>
          <c:idx val="1"/>
          <c:order val="1"/>
          <c:tx>
            <c:strRef>
              <c:f>Plannification!$E$4</c:f>
              <c:strCache>
                <c:ptCount val="1"/>
                <c:pt idx="0">
                  <c:v>Plannification Effective</c:v>
                </c:pt>
              </c:strCache>
            </c:strRef>
          </c:tx>
          <c:spPr>
            <a:solidFill>
              <a:srgbClr val="00B0F0"/>
            </a:solidFill>
            <a:ln w="12600">
              <a:noFill/>
            </a:ln>
          </c:spPr>
          <c:invertIfNegative val="0"/>
          <c:dLbls>
            <c:numFmt formatCode="00%" sourceLinked="0"/>
            <c:txPr>
              <a:bodyPr wrap="square"/>
              <a:lstStyle/>
              <a:p>
                <a:pPr>
                  <a:defRPr sz="1600" b="1" u="none" strike="noStrike">
                    <a:solidFill>
                      <a:schemeClr val="tx1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Plannification!$L$6:$L$10</c:f>
              <c:strCache>
                <c:ptCount val="4"/>
                <c:pt idx="0">
                  <c:v>Analyse</c:v>
                </c:pt>
                <c:pt idx="1">
                  <c:v>Implémentation</c:v>
                </c:pt>
                <c:pt idx="2">
                  <c:v>Test</c:v>
                </c:pt>
                <c:pt idx="3">
                  <c:v>Documentation</c:v>
                </c:pt>
              </c:strCache>
            </c:strRef>
          </c:cat>
          <c:val>
            <c:numRef>
              <c:f>Plannification!$G$6:$G$10</c:f>
              <c:numCache>
                <c:formatCode>0.00%</c:formatCode>
                <c:ptCount val="4"/>
                <c:pt idx="0">
                  <c:v>0.15625</c:v>
                </c:pt>
                <c:pt idx="1">
                  <c:v>0.671875</c:v>
                </c:pt>
                <c:pt idx="2">
                  <c:v>0.171875</c:v>
                </c:pt>
                <c:pt idx="3">
                  <c:v>0</c:v>
                </c:pt>
              </c:numCache>
            </c:numRef>
          </c:val>
        </c:ser>
        <c:gapWidth val="112"/>
        <c:overlap val="45"/>
        <c:axId val="87663947"/>
        <c:axId val="7631922"/>
      </c:barChart>
      <c:catAx>
        <c:axId val="8766394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chemeClr val="dk1">
                <a:lumMod val="15000"/>
                <a:lumOff val="85000"/>
              </a:schemeClr>
            </a:solidFill>
            <a:round/>
          </a:ln>
        </c:spPr>
        <c:txPr>
          <a:bodyPr/>
          <a:lstStyle/>
          <a:p>
            <a:pPr>
              <a:defRPr sz="1400" b="1" u="none" strike="noStrike">
                <a:solidFill>
                  <a:schemeClr val="tx1">
                    <a:lumMod val="65000"/>
                    <a:lumOff val="35000"/>
                  </a:schemeClr>
                </a:solidFill>
                <a:uFillTx/>
                <a:latin typeface="Calibri"/>
              </a:defRPr>
            </a:pPr>
          </a:p>
        </c:txPr>
        <c:crossAx val="7631922"/>
        <c:crosses val="autoZero"/>
        <c:auto val="1"/>
        <c:lblAlgn val="ctr"/>
        <c:lblOffset val="100"/>
        <c:noMultiLvlLbl val="0"/>
      </c:catAx>
      <c:valAx>
        <c:axId val="7631922"/>
        <c:scaling>
          <c:orientation val="minMax"/>
        </c:scaling>
        <c:delete val="1"/>
        <c:axPos val="l"/>
        <c:majorGridlines>
          <c:spPr>
            <a:ln w="9360">
              <a:solidFill>
                <a:schemeClr val="dk1">
                  <a:lumMod val="15000"/>
                  <a:lumOff val="85000"/>
                </a:schemeClr>
              </a:solidFill>
              <a:round/>
            </a:ln>
          </c:spPr>
        </c:majorGridlines>
        <c:numFmt formatCode="0.00%" sourceLinked="1"/>
        <c:majorTickMark val="none"/>
        <c:minorTickMark val="none"/>
        <c:tickLblPos val="nextTo"/>
        <c:spPr>
          <a:ln w="936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7663947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0141044215626893"/>
          <c:y val="0.937551526531625"/>
          <c:w val="0.973587886129618"/>
          <c:h val="0.0556810713621427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600" b="0" u="none" strike="noStrike">
              <a:solidFill>
                <a:schemeClr val="tx1">
                  <a:lumMod val="65000"/>
                  <a:lumOff val="35000"/>
                </a:schemeClr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chemeClr val="dk1">
          <a:lumMod val="15000"/>
          <a:lumOff val="85000"/>
        </a:schemeClr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>
      <a:schemeClr val="dk1">
        <a:lumMod val="65000"/>
        <a:lumOff val="35000"/>
      </a:schemeClr>
    </cs:fontRef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12</xdr:row>
      <xdr:rowOff>19080</xdr:rowOff>
    </xdr:from>
    <xdr:to>
      <xdr:col>10</xdr:col>
      <xdr:colOff>202320</xdr:colOff>
      <xdr:row>36</xdr:row>
      <xdr:rowOff>11880</xdr:rowOff>
    </xdr:to>
    <xdr:graphicFrame>
      <xdr:nvGraphicFramePr>
        <xdr:cNvPr id="1" name="Chart 6"/>
        <xdr:cNvGraphicFramePr/>
      </xdr:nvGraphicFramePr>
      <xdr:xfrm>
        <a:off x="1052280" y="2662560"/>
        <a:ext cx="7777800" cy="5707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12</xdr:row>
      <xdr:rowOff>12600</xdr:rowOff>
    </xdr:from>
    <xdr:to>
      <xdr:col>17</xdr:col>
      <xdr:colOff>419040</xdr:colOff>
      <xdr:row>35</xdr:row>
      <xdr:rowOff>237600</xdr:rowOff>
    </xdr:to>
    <xdr:graphicFrame>
      <xdr:nvGraphicFramePr>
        <xdr:cNvPr id="2" name="Chart 7"/>
        <xdr:cNvGraphicFramePr/>
      </xdr:nvGraphicFramePr>
      <xdr:xfrm>
        <a:off x="9646920" y="2656080"/>
        <a:ext cx="7766640" cy="5702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12600</xdr:colOff>
      <xdr:row>2</xdr:row>
      <xdr:rowOff>6480</xdr:rowOff>
    </xdr:from>
    <xdr:to>
      <xdr:col>14</xdr:col>
      <xdr:colOff>1018440</xdr:colOff>
      <xdr:row>38</xdr:row>
      <xdr:rowOff>199080</xdr:rowOff>
    </xdr:to>
    <xdr:graphicFrame>
      <xdr:nvGraphicFramePr>
        <xdr:cNvPr id="3" name="Chart 1"/>
        <xdr:cNvGraphicFramePr/>
      </xdr:nvGraphicFramePr>
      <xdr:xfrm>
        <a:off x="1031760" y="406440"/>
        <a:ext cx="14255280" cy="739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6:G532" headerRowCount="1" totalsRowCount="0" totalsRowShown="0">
  <autoFilter ref="A6:G532"/>
  <tableColumns count="7">
    <tableColumn id="1" name="Semaine"/>
    <tableColumn id="2" name="Jour"/>
    <tableColumn id="3" name="h.      "/>
    <tableColumn id="4" name="min."/>
    <tableColumn id="5" name="Type"/>
    <tableColumn id="6" name="Description"/>
    <tableColumn id="7" name="Remarques/problèmes"/>
  </tableColumns>
</table>
</file>

<file path=xl/theme/theme1.xml><?xml version="1.0" encoding="utf-8"?>
<a:theme xmlns:a="http://schemas.openxmlformats.org/drawingml/2006/main" xmlns:r="http://schemas.openxmlformats.org/officeDocument/2006/relationships" name="Feathered">
  <a:themeElements>
    <a:clrScheme name="Feathered">
      <a:dk1>
        <a:srgbClr val="000000"/>
      </a:dk1>
      <a:lt1>
        <a:srgbClr val="FFFFFF"/>
      </a:lt1>
      <a:dk2>
        <a:srgbClr val="121316"/>
      </a:dk2>
      <a:lt2>
        <a:srgbClr val="FEFCF7"/>
      </a:lt2>
      <a:accent1>
        <a:srgbClr val="606372"/>
      </a:accent1>
      <a:accent2>
        <a:srgbClr val="79A8A4"/>
      </a:accent2>
      <a:accent3>
        <a:srgbClr val="B2AD8F"/>
      </a:accent3>
      <a:accent4>
        <a:srgbClr val="AD8082"/>
      </a:accent4>
      <a:accent5>
        <a:srgbClr val="DEC18C"/>
      </a:accent5>
      <a:accent6>
        <a:srgbClr val="92A185"/>
      </a:accent6>
      <a:hlink>
        <a:srgbClr val="85C4D2"/>
      </a:hlink>
      <a:folHlink>
        <a:srgbClr val="8E8CA7"/>
      </a:folHlink>
    </a:clrScheme>
    <a:fontScheme name="Feathered">
      <a:majorFont>
        <a:latin typeface="Century Schoolbook" panose="020406040505050203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solidFill>
          <a:schemeClr val="phClr">
            <a:tint val="67000"/>
          </a:schemeClr>
        </a:soli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0000"/>
                <a:lumMod val="99000"/>
              </a:schemeClr>
            </a:gs>
          </a:gsLst>
          <a:path path="circle">
            <a:fillToRect l="100000" t="100000" r="100000" b="100000"/>
          </a:path>
          <a:tileRect l="0" t="0" r="0" b="0"/>
        </a:gradFill>
      </a:fillStyleLst>
      <a:lnStyleLst>
        <a:ln w="9525" cap="flat" cmpd="sng" algn="ctr">
          <a:prstDash val="solid"/>
        </a:ln>
        <a:ln w="12700" cap="flat" cmpd="sng" algn="ctr">
          <a:prstDash val="solid"/>
        </a:ln>
        <a:ln w="1905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32"/>
  <sheetViews>
    <sheetView showFormulas="false" showGridLines="true" showRowColHeaders="true" showZeros="true" rightToLeft="false" tabSelected="true" showOutlineSymbols="true" defaultGridColor="true" view="normal" topLeftCell="B1" colorId="64" zoomScale="120" zoomScaleNormal="120" zoomScalePageLayoutView="100" workbookViewId="0">
      <pane xSplit="0" ySplit="6" topLeftCell="A7" activePane="bottomLeft" state="frozen"/>
      <selection pane="topLeft" activeCell="B1" activeCellId="0" sqref="B1"/>
      <selection pane="bottomLeft" activeCell="F30" activeCellId="0" sqref="F30"/>
    </sheetView>
  </sheetViews>
  <sheetFormatPr defaultColWidth="11" defaultRowHeight="15.75" customHeight="false" zeroHeight="false" outlineLevelRow="0" outlineLevelCol="0"/>
  <cols>
    <col collapsed="false" customWidth="true" hidden="false" outlineLevel="0" max="1" min="1" style="1" width="14.5"/>
    <col collapsed="false" customWidth="true" hidden="false" outlineLevel="0" max="2" min="2" style="2" width="11.83"/>
    <col collapsed="false" customWidth="true" hidden="false" outlineLevel="0" max="3" min="3" style="3" width="12.16"/>
    <col collapsed="false" customWidth="true" hidden="false" outlineLevel="0" max="4" min="4" style="3" width="10.5"/>
    <col collapsed="false" customWidth="true" hidden="false" outlineLevel="0" max="5" min="5" style="4" width="14.16"/>
    <col collapsed="false" customWidth="true" hidden="false" outlineLevel="0" max="6" min="6" style="4" width="83.5"/>
    <col collapsed="false" customWidth="true" hidden="false" outlineLevel="0" max="7" min="7" style="4" width="72.16"/>
    <col collapsed="false" customWidth="true" hidden="false" outlineLevel="0" max="10" min="10" style="4" width="7.16"/>
    <col collapsed="false" customWidth="true" hidden="false" outlineLevel="0" max="11" min="11" style="4" width="13.83"/>
    <col collapsed="false" customWidth="true" hidden="false" outlineLevel="0" max="12" min="12" style="4" width="4.16"/>
    <col collapsed="false" customWidth="true" hidden="true" outlineLevel="0" max="13" min="13" style="4" width="14.33"/>
    <col collapsed="false" customWidth="true" hidden="true" outlineLevel="0" max="14" min="14" style="4" width="4.67"/>
    <col collapsed="false" customWidth="true" hidden="true" outlineLevel="0" max="15" min="15" style="4" width="7.67"/>
  </cols>
  <sheetData>
    <row r="1" customFormat="false" ht="22.05" hidden="false" customHeight="false" outlineLevel="0" collapsed="false">
      <c r="A1" s="5"/>
      <c r="B1" s="6"/>
      <c r="C1" s="7"/>
      <c r="D1" s="7"/>
      <c r="E1" s="8"/>
      <c r="F1" s="9" t="s">
        <v>0</v>
      </c>
      <c r="G1" s="8"/>
    </row>
    <row r="2" customFormat="false" ht="22.05" hidden="false" customHeight="false" outlineLevel="0" collapsed="false">
      <c r="A2" s="10" t="s">
        <v>1</v>
      </c>
      <c r="B2" s="10"/>
      <c r="C2" s="11" t="s">
        <v>2</v>
      </c>
      <c r="D2" s="11"/>
      <c r="E2" s="11"/>
      <c r="F2" s="12" t="s">
        <v>3</v>
      </c>
      <c r="G2" s="13" t="s">
        <v>4</v>
      </c>
    </row>
    <row r="3" customFormat="false" ht="22.05" hidden="false" customHeight="false" outlineLevel="0" collapsed="false">
      <c r="A3" s="10" t="s">
        <v>5</v>
      </c>
      <c r="B3" s="10"/>
      <c r="C3" s="14" t="str">
        <f aca="false">QUOTIENT(E4,60)&amp;" heures "&amp;MOD(E4,60)&amp;" minutes"</f>
        <v>16 heures 0 minutes</v>
      </c>
      <c r="D3" s="15"/>
      <c r="E3" s="16"/>
      <c r="F3" s="17" t="s">
        <v>6</v>
      </c>
      <c r="G3" s="18" t="s">
        <v>7</v>
      </c>
    </row>
    <row r="4" customFormat="false" ht="22.05" hidden="true" customHeight="false" outlineLevel="0" collapsed="false">
      <c r="B4" s="12"/>
      <c r="C4" s="15" t="n">
        <f aca="false">SUBTOTAL(9,$C$7:$C$531)*60</f>
        <v>720</v>
      </c>
      <c r="D4" s="15" t="n">
        <f aca="false">SUBTOTAL(9,$D$7:$D$531)</f>
        <v>240</v>
      </c>
      <c r="E4" s="19" t="n">
        <f aca="false">SUM(C4:D4)</f>
        <v>960</v>
      </c>
      <c r="F4" s="17"/>
      <c r="G4" s="20"/>
    </row>
    <row r="5" customFormat="false" ht="15.75" hidden="false" customHeight="false" outlineLevel="0" collapsed="false">
      <c r="C5" s="21" t="s">
        <v>8</v>
      </c>
      <c r="D5" s="21"/>
    </row>
    <row r="6" s="27" customFormat="true" ht="19.5" hidden="false" customHeight="true" outlineLevel="0" collapsed="false">
      <c r="A6" s="22" t="s">
        <v>9</v>
      </c>
      <c r="B6" s="23" t="s">
        <v>10</v>
      </c>
      <c r="C6" s="24" t="s">
        <v>11</v>
      </c>
      <c r="D6" s="25" t="s">
        <v>12</v>
      </c>
      <c r="E6" s="26" t="s">
        <v>13</v>
      </c>
      <c r="F6" s="26" t="s">
        <v>14</v>
      </c>
      <c r="G6" s="26" t="s">
        <v>15</v>
      </c>
    </row>
    <row r="7" customFormat="false" ht="15.75" hidden="false" customHeight="false" outlineLevel="0" collapsed="false">
      <c r="A7" s="28" t="n">
        <f aca="false">IF(ISBLANK(B7),"",_xlfn.ISOWEEKNUM('Journal de travail'!$B7))</f>
        <v>36</v>
      </c>
      <c r="B7" s="29" t="n">
        <v>46265</v>
      </c>
      <c r="C7" s="30"/>
      <c r="D7" s="31" t="n">
        <v>45</v>
      </c>
      <c r="E7" s="32" t="s">
        <v>16</v>
      </c>
      <c r="F7" s="33" t="s">
        <v>17</v>
      </c>
      <c r="G7" s="34"/>
    </row>
    <row r="8" customFormat="false" ht="15.75" hidden="false" customHeight="false" outlineLevel="0" collapsed="false">
      <c r="A8" s="35" t="n">
        <f aca="false">IF(ISBLANK(B8),"",_xlfn.ISOWEEKNUM('Journal de travail'!$B8))</f>
        <v>36</v>
      </c>
      <c r="B8" s="36" t="n">
        <v>46265</v>
      </c>
      <c r="C8" s="37"/>
      <c r="D8" s="38" t="n">
        <v>45</v>
      </c>
      <c r="E8" s="39" t="s">
        <v>16</v>
      </c>
      <c r="F8" s="33" t="s">
        <v>18</v>
      </c>
      <c r="G8" s="40" t="s">
        <v>19</v>
      </c>
      <c r="M8" s="4" t="s">
        <v>16</v>
      </c>
      <c r="N8" s="4" t="n">
        <v>1</v>
      </c>
      <c r="O8" s="4" t="n">
        <v>0</v>
      </c>
    </row>
    <row r="9" customFormat="false" ht="15.75" hidden="false" customHeight="false" outlineLevel="0" collapsed="false">
      <c r="A9" s="35" t="n">
        <f aca="false">IF(ISBLANK(B9),"",_xlfn.ISOWEEKNUM('Journal de travail'!$B9))</f>
        <v>36</v>
      </c>
      <c r="B9" s="41" t="n">
        <v>46265</v>
      </c>
      <c r="C9" s="42" t="n">
        <v>1</v>
      </c>
      <c r="D9" s="43" t="n">
        <v>30</v>
      </c>
      <c r="E9" s="44" t="s">
        <v>20</v>
      </c>
      <c r="F9" s="33" t="s">
        <v>21</v>
      </c>
      <c r="G9" s="45"/>
      <c r="M9" s="4" t="s">
        <v>20</v>
      </c>
      <c r="N9" s="4" t="n">
        <v>2</v>
      </c>
      <c r="O9" s="4" t="n">
        <v>5</v>
      </c>
    </row>
    <row r="10" customFormat="false" ht="15.75" hidden="false" customHeight="false" outlineLevel="0" collapsed="false">
      <c r="A10" s="35" t="n">
        <f aca="false">IF(ISBLANK(B10),"",_xlfn.ISOWEEKNUM('Journal de travail'!$B10))</f>
        <v>37</v>
      </c>
      <c r="B10" s="46" t="n">
        <v>46272</v>
      </c>
      <c r="C10" s="37" t="n">
        <v>1</v>
      </c>
      <c r="D10" s="38"/>
      <c r="E10" s="39" t="s">
        <v>20</v>
      </c>
      <c r="F10" s="33" t="s">
        <v>22</v>
      </c>
      <c r="G10" s="47"/>
      <c r="M10" s="4" t="s">
        <v>23</v>
      </c>
      <c r="N10" s="4" t="n">
        <v>3</v>
      </c>
      <c r="O10" s="4" t="n">
        <v>10</v>
      </c>
    </row>
    <row r="11" customFormat="false" ht="15.75" hidden="false" customHeight="false" outlineLevel="0" collapsed="false">
      <c r="A11" s="35" t="n">
        <f aca="false">IF(ISBLANK(B11),"",_xlfn.ISOWEEKNUM('Journal de travail'!$B11))</f>
        <v>37</v>
      </c>
      <c r="B11" s="48" t="n">
        <v>46272</v>
      </c>
      <c r="C11" s="42" t="n">
        <v>2</v>
      </c>
      <c r="D11" s="43"/>
      <c r="E11" s="44" t="s">
        <v>20</v>
      </c>
      <c r="F11" s="33" t="s">
        <v>24</v>
      </c>
      <c r="G11" s="49"/>
      <c r="M11" s="4" t="s">
        <v>25</v>
      </c>
      <c r="N11" s="4" t="n">
        <v>4</v>
      </c>
      <c r="O11" s="4" t="n">
        <v>15</v>
      </c>
    </row>
    <row r="12" customFormat="false" ht="15.75" hidden="false" customHeight="false" outlineLevel="0" collapsed="false">
      <c r="A12" s="35" t="n">
        <f aca="false">IF(ISBLANK(B12),"",_xlfn.ISOWEEKNUM('Journal de travail'!$B12))</f>
        <v>38</v>
      </c>
      <c r="B12" s="36" t="n">
        <v>46279</v>
      </c>
      <c r="C12" s="37" t="n">
        <v>1</v>
      </c>
      <c r="D12" s="38" t="n">
        <v>30</v>
      </c>
      <c r="E12" s="39" t="s">
        <v>20</v>
      </c>
      <c r="F12" s="33" t="s">
        <v>26</v>
      </c>
      <c r="G12" s="47"/>
      <c r="M12" s="4" t="s">
        <v>27</v>
      </c>
      <c r="N12" s="4" t="n">
        <v>5</v>
      </c>
      <c r="O12" s="4" t="n">
        <v>20</v>
      </c>
    </row>
    <row r="13" customFormat="false" ht="15.75" hidden="false" customHeight="false" outlineLevel="0" collapsed="false">
      <c r="A13" s="35" t="n">
        <f aca="false">IF(ISBLANK(B13),"",_xlfn.ISOWEEKNUM('Journal de travail'!$B13))</f>
        <v>38</v>
      </c>
      <c r="B13" s="48" t="n">
        <v>46279</v>
      </c>
      <c r="C13" s="42"/>
      <c r="D13" s="43" t="n">
        <v>45</v>
      </c>
      <c r="E13" s="39" t="s">
        <v>20</v>
      </c>
      <c r="F13" s="33" t="s">
        <v>28</v>
      </c>
      <c r="G13" s="49"/>
      <c r="N13" s="4" t="n">
        <v>6</v>
      </c>
      <c r="O13" s="4" t="n">
        <v>25</v>
      </c>
    </row>
    <row r="14" customFormat="false" ht="15.75" hidden="false" customHeight="false" outlineLevel="0" collapsed="false">
      <c r="A14" s="35" t="n">
        <f aca="false">IF(ISBLANK(B14),"",_xlfn.ISOWEEKNUM('Journal de travail'!$B14))</f>
        <v>38</v>
      </c>
      <c r="B14" s="36" t="n">
        <v>46279</v>
      </c>
      <c r="C14" s="37"/>
      <c r="D14" s="38" t="n">
        <v>45</v>
      </c>
      <c r="E14" s="39" t="s">
        <v>23</v>
      </c>
      <c r="F14" s="33" t="s">
        <v>29</v>
      </c>
      <c r="G14" s="47"/>
      <c r="N14" s="4" t="n">
        <v>7</v>
      </c>
      <c r="O14" s="4" t="n">
        <v>30</v>
      </c>
    </row>
    <row r="15" customFormat="false" ht="15.75" hidden="false" customHeight="false" outlineLevel="0" collapsed="false">
      <c r="A15" s="35" t="n">
        <f aca="false">IF(ISBLANK(B15),"",_xlfn.ISOWEEKNUM('Journal de travail'!$B15))</f>
        <v>39</v>
      </c>
      <c r="B15" s="41" t="n">
        <v>46286</v>
      </c>
      <c r="C15" s="42" t="n">
        <v>2</v>
      </c>
      <c r="D15" s="43"/>
      <c r="E15" s="44" t="s">
        <v>20</v>
      </c>
      <c r="F15" s="33" t="s">
        <v>30</v>
      </c>
      <c r="G15" s="49"/>
      <c r="N15" s="4" t="n">
        <v>8</v>
      </c>
      <c r="O15" s="4" t="n">
        <v>35</v>
      </c>
    </row>
    <row r="16" customFormat="false" ht="15.75" hidden="false" customHeight="false" outlineLevel="0" collapsed="false">
      <c r="A16" s="35" t="n">
        <f aca="false">IF(ISBLANK(B16),"",_xlfn.ISOWEEKNUM('Journal de travail'!$B16))</f>
        <v>39</v>
      </c>
      <c r="B16" s="36" t="n">
        <v>46286</v>
      </c>
      <c r="C16" s="37" t="n">
        <v>1</v>
      </c>
      <c r="D16" s="38"/>
      <c r="E16" s="39" t="s">
        <v>23</v>
      </c>
      <c r="F16" s="33" t="s">
        <v>31</v>
      </c>
      <c r="G16" s="47"/>
      <c r="O16" s="4" t="n">
        <v>40</v>
      </c>
    </row>
    <row r="17" customFormat="false" ht="15.75" hidden="false" customHeight="false" outlineLevel="0" collapsed="false">
      <c r="A17" s="35" t="n">
        <f aca="false">IF(ISBLANK(B17),"",_xlfn.ISOWEEKNUM('Journal de travail'!$B17))</f>
        <v>40</v>
      </c>
      <c r="B17" s="41" t="n">
        <v>46293</v>
      </c>
      <c r="C17" s="42" t="n">
        <v>1</v>
      </c>
      <c r="D17" s="43"/>
      <c r="E17" s="44" t="s">
        <v>20</v>
      </c>
      <c r="F17" s="33" t="s">
        <v>32</v>
      </c>
      <c r="G17" s="49"/>
      <c r="O17" s="4" t="n">
        <v>45</v>
      </c>
    </row>
    <row r="18" customFormat="false" ht="15.75" hidden="false" customHeight="false" outlineLevel="0" collapsed="false">
      <c r="A18" s="35" t="n">
        <f aca="false">IF(ISBLANK(B18),"",_xlfn.ISOWEEKNUM('Journal de travail'!$B18))</f>
        <v>40</v>
      </c>
      <c r="B18" s="36" t="n">
        <v>46293</v>
      </c>
      <c r="C18" s="37" t="n">
        <v>1</v>
      </c>
      <c r="D18" s="38"/>
      <c r="E18" s="39" t="s">
        <v>20</v>
      </c>
      <c r="F18" s="33" t="s">
        <v>33</v>
      </c>
      <c r="G18" s="47" t="s">
        <v>34</v>
      </c>
      <c r="O18" s="4" t="n">
        <v>50</v>
      </c>
    </row>
    <row r="19" customFormat="false" ht="15.75" hidden="false" customHeight="false" outlineLevel="0" collapsed="false">
      <c r="A19" s="35" t="n">
        <f aca="false">IF(ISBLANK(B19),"",_xlfn.ISOWEEKNUM('Journal de travail'!$B19))</f>
        <v>40</v>
      </c>
      <c r="B19" s="41" t="n">
        <v>46293</v>
      </c>
      <c r="C19" s="42" t="n">
        <v>1</v>
      </c>
      <c r="D19" s="43"/>
      <c r="E19" s="44" t="s">
        <v>23</v>
      </c>
      <c r="F19" s="33" t="s">
        <v>35</v>
      </c>
      <c r="G19" s="49"/>
      <c r="O19" s="4" t="n">
        <v>55</v>
      </c>
    </row>
    <row r="20" customFormat="false" ht="15.75" hidden="false" customHeight="false" outlineLevel="0" collapsed="false">
      <c r="A20" s="35" t="n">
        <f aca="false">IF(ISBLANK(B20),"",_xlfn.ISOWEEKNUM('Journal de travail'!$B20))</f>
        <v>44</v>
      </c>
      <c r="B20" s="36" t="n">
        <v>46322</v>
      </c>
      <c r="C20" s="37" t="n">
        <v>1</v>
      </c>
      <c r="D20" s="38"/>
      <c r="E20" s="39" t="s">
        <v>16</v>
      </c>
      <c r="F20" s="33" t="s">
        <v>36</v>
      </c>
      <c r="G20" s="40"/>
    </row>
    <row r="21" customFormat="false" ht="15.75" hidden="false" customHeight="false" outlineLevel="0" collapsed="false">
      <c r="A21" s="35" t="str">
        <f aca="false">IF(ISBLANK(B21),"",_xlfn.ISOWEEKNUM('Journal de travail'!$B21))</f>
        <v/>
      </c>
      <c r="B21" s="41"/>
      <c r="C21" s="42"/>
      <c r="D21" s="43"/>
      <c r="E21" s="44"/>
      <c r="F21" s="33"/>
      <c r="G21" s="49"/>
    </row>
    <row r="22" customFormat="false" ht="15.75" hidden="false" customHeight="false" outlineLevel="0" collapsed="false">
      <c r="A22" s="35" t="str">
        <f aca="false">IF(ISBLANK(B22),"",_xlfn.ISOWEEKNUM('Journal de travail'!$B22))</f>
        <v/>
      </c>
      <c r="B22" s="46"/>
      <c r="C22" s="37"/>
      <c r="D22" s="38"/>
      <c r="E22" s="39"/>
      <c r="F22" s="33"/>
      <c r="G22" s="47"/>
    </row>
    <row r="23" customFormat="false" ht="15.75" hidden="false" customHeight="false" outlineLevel="0" collapsed="false">
      <c r="A23" s="35" t="str">
        <f aca="false">IF(ISBLANK(B23),"",_xlfn.ISOWEEKNUM('Journal de travail'!$B23))</f>
        <v/>
      </c>
      <c r="B23" s="48"/>
      <c r="C23" s="42"/>
      <c r="D23" s="43"/>
      <c r="E23" s="44"/>
      <c r="F23" s="33"/>
      <c r="G23" s="49"/>
    </row>
    <row r="24" customFormat="false" ht="15.75" hidden="false" customHeight="false" outlineLevel="0" collapsed="false">
      <c r="A24" s="35" t="str">
        <f aca="false">IF(ISBLANK(B24),"",_xlfn.ISOWEEKNUM('Journal de travail'!$B24))</f>
        <v/>
      </c>
      <c r="B24" s="46"/>
      <c r="C24" s="37"/>
      <c r="D24" s="38"/>
      <c r="E24" s="39"/>
      <c r="F24" s="33"/>
      <c r="G24" s="47"/>
    </row>
    <row r="25" customFormat="false" ht="15.75" hidden="false" customHeight="false" outlineLevel="0" collapsed="false">
      <c r="A25" s="35" t="str">
        <f aca="false">IF(ISBLANK(B25),"",_xlfn.ISOWEEKNUM('Journal de travail'!$B25))</f>
        <v/>
      </c>
      <c r="B25" s="48"/>
      <c r="C25" s="42"/>
      <c r="D25" s="43"/>
      <c r="E25" s="44"/>
      <c r="F25" s="33"/>
      <c r="G25" s="49"/>
    </row>
    <row r="26" customFormat="false" ht="15.75" hidden="false" customHeight="false" outlineLevel="0" collapsed="false">
      <c r="A26" s="35" t="str">
        <f aca="false">IF(ISBLANK(B26),"",_xlfn.ISOWEEKNUM('Journal de travail'!$B26))</f>
        <v/>
      </c>
      <c r="B26" s="46"/>
      <c r="C26" s="37"/>
      <c r="D26" s="38"/>
      <c r="E26" s="39"/>
      <c r="F26" s="33"/>
      <c r="G26" s="47"/>
    </row>
    <row r="27" customFormat="false" ht="15.75" hidden="false" customHeight="false" outlineLevel="0" collapsed="false">
      <c r="A27" s="35" t="str">
        <f aca="false">IF(ISBLANK(B27),"",_xlfn.ISOWEEKNUM('Journal de travail'!$B27))</f>
        <v/>
      </c>
      <c r="B27" s="48"/>
      <c r="C27" s="42"/>
      <c r="D27" s="43"/>
      <c r="E27" s="44"/>
      <c r="F27" s="33"/>
      <c r="G27" s="49"/>
    </row>
    <row r="28" customFormat="false" ht="15.75" hidden="false" customHeight="false" outlineLevel="0" collapsed="false">
      <c r="A28" s="35" t="str">
        <f aca="false">IF(ISBLANK(B28),"",_xlfn.ISOWEEKNUM('Journal de travail'!$B28))</f>
        <v/>
      </c>
      <c r="B28" s="46"/>
      <c r="C28" s="37"/>
      <c r="D28" s="38"/>
      <c r="E28" s="39"/>
      <c r="F28" s="50"/>
      <c r="G28" s="47"/>
    </row>
    <row r="29" customFormat="false" ht="15.75" hidden="false" customHeight="false" outlineLevel="0" collapsed="false">
      <c r="A29" s="35" t="str">
        <f aca="false">IF(ISBLANK(B29),"",_xlfn.ISOWEEKNUM('Journal de travail'!$B29))</f>
        <v/>
      </c>
      <c r="B29" s="48"/>
      <c r="C29" s="42"/>
      <c r="D29" s="43"/>
      <c r="E29" s="44"/>
      <c r="F29" s="50"/>
      <c r="G29" s="49"/>
    </row>
    <row r="30" customFormat="false" ht="15.75" hidden="false" customHeight="false" outlineLevel="0" collapsed="false">
      <c r="A30" s="35" t="str">
        <f aca="false">IF(ISBLANK(B30),"",_xlfn.ISOWEEKNUM('Journal de travail'!$B30))</f>
        <v/>
      </c>
      <c r="B30" s="46"/>
      <c r="C30" s="37"/>
      <c r="D30" s="38"/>
      <c r="E30" s="39"/>
      <c r="F30" s="33"/>
      <c r="G30" s="47"/>
    </row>
    <row r="31" customFormat="false" ht="15.75" hidden="false" customHeight="false" outlineLevel="0" collapsed="false">
      <c r="A31" s="35" t="str">
        <f aca="false">IF(ISBLANK(B31),"",_xlfn.ISOWEEKNUM('Journal de travail'!$B31))</f>
        <v/>
      </c>
      <c r="B31" s="48"/>
      <c r="C31" s="42"/>
      <c r="D31" s="43"/>
      <c r="E31" s="44"/>
      <c r="F31" s="50"/>
      <c r="G31" s="49"/>
    </row>
    <row r="32" customFormat="false" ht="15.75" hidden="false" customHeight="false" outlineLevel="0" collapsed="false">
      <c r="A32" s="35" t="str">
        <f aca="false">IF(ISBLANK(B32),"",_xlfn.ISOWEEKNUM('Journal de travail'!$B32))</f>
        <v/>
      </c>
      <c r="B32" s="46"/>
      <c r="C32" s="37"/>
      <c r="D32" s="38"/>
      <c r="E32" s="39"/>
      <c r="F32" s="33"/>
      <c r="G32" s="47"/>
    </row>
    <row r="33" customFormat="false" ht="15.75" hidden="false" customHeight="false" outlineLevel="0" collapsed="false">
      <c r="A33" s="35" t="str">
        <f aca="false">IF(ISBLANK(B33),"",_xlfn.ISOWEEKNUM('Journal de travail'!$B33))</f>
        <v/>
      </c>
      <c r="B33" s="48"/>
      <c r="C33" s="42"/>
      <c r="D33" s="43"/>
      <c r="E33" s="44"/>
      <c r="F33" s="50"/>
      <c r="G33" s="49"/>
    </row>
    <row r="34" customFormat="false" ht="15.75" hidden="false" customHeight="false" outlineLevel="0" collapsed="false">
      <c r="A34" s="35" t="str">
        <f aca="false">IF(ISBLANK(B34),"",_xlfn.ISOWEEKNUM('Journal de travail'!$B34))</f>
        <v/>
      </c>
      <c r="B34" s="46"/>
      <c r="C34" s="37"/>
      <c r="D34" s="38"/>
      <c r="E34" s="39"/>
      <c r="F34" s="50"/>
      <c r="G34" s="47"/>
    </row>
    <row r="35" customFormat="false" ht="15.75" hidden="false" customHeight="false" outlineLevel="0" collapsed="false">
      <c r="A35" s="35" t="str">
        <f aca="false">IF(ISBLANK(B35),"",_xlfn.ISOWEEKNUM('Journal de travail'!$B35))</f>
        <v/>
      </c>
      <c r="B35" s="48"/>
      <c r="C35" s="42"/>
      <c r="D35" s="43"/>
      <c r="E35" s="44"/>
      <c r="F35" s="33"/>
      <c r="G35" s="49"/>
    </row>
    <row r="36" customFormat="false" ht="15.75" hidden="false" customHeight="false" outlineLevel="0" collapsed="false">
      <c r="A36" s="35" t="str">
        <f aca="false">IF(ISBLANK(B36),"",_xlfn.ISOWEEKNUM('Journal de travail'!$B36))</f>
        <v/>
      </c>
      <c r="B36" s="46"/>
      <c r="C36" s="37"/>
      <c r="D36" s="38"/>
      <c r="E36" s="39"/>
      <c r="F36" s="50"/>
      <c r="G36" s="47"/>
    </row>
    <row r="37" customFormat="false" ht="15.75" hidden="false" customHeight="false" outlineLevel="0" collapsed="false">
      <c r="A37" s="35" t="str">
        <f aca="false">IF(ISBLANK(B37),"",_xlfn.ISOWEEKNUM('Journal de travail'!$B37))</f>
        <v/>
      </c>
      <c r="B37" s="48"/>
      <c r="C37" s="42"/>
      <c r="D37" s="43"/>
      <c r="E37" s="44"/>
      <c r="F37" s="50"/>
      <c r="G37" s="49"/>
    </row>
    <row r="38" customFormat="false" ht="15.75" hidden="false" customHeight="false" outlineLevel="0" collapsed="false">
      <c r="A38" s="35" t="str">
        <f aca="false">IF(ISBLANK(B38),"",_xlfn.ISOWEEKNUM('Journal de travail'!$B38))</f>
        <v/>
      </c>
      <c r="B38" s="46"/>
      <c r="C38" s="37"/>
      <c r="D38" s="38"/>
      <c r="E38" s="39"/>
      <c r="F38" s="50"/>
      <c r="G38" s="47"/>
    </row>
    <row r="39" customFormat="false" ht="15.75" hidden="false" customHeight="false" outlineLevel="0" collapsed="false">
      <c r="A39" s="35" t="str">
        <f aca="false">IF(ISBLANK(B39),"",_xlfn.ISOWEEKNUM('Journal de travail'!$B39))</f>
        <v/>
      </c>
      <c r="B39" s="48"/>
      <c r="C39" s="42"/>
      <c r="D39" s="43"/>
      <c r="E39" s="44"/>
      <c r="F39" s="50"/>
      <c r="G39" s="49"/>
    </row>
    <row r="40" customFormat="false" ht="15.75" hidden="false" customHeight="false" outlineLevel="0" collapsed="false">
      <c r="A40" s="35" t="str">
        <f aca="false">IF(ISBLANK(B40),"",_xlfn.ISOWEEKNUM('Journal de travail'!$B40))</f>
        <v/>
      </c>
      <c r="B40" s="46"/>
      <c r="C40" s="37"/>
      <c r="D40" s="38"/>
      <c r="E40" s="39"/>
      <c r="F40" s="50"/>
      <c r="G40" s="47"/>
    </row>
    <row r="41" customFormat="false" ht="15.75" hidden="false" customHeight="false" outlineLevel="0" collapsed="false">
      <c r="A41" s="35" t="str">
        <f aca="false">IF(ISBLANK(B41),"",_xlfn.ISOWEEKNUM('Journal de travail'!$B41))</f>
        <v/>
      </c>
      <c r="B41" s="48"/>
      <c r="C41" s="42"/>
      <c r="D41" s="43"/>
      <c r="E41" s="44"/>
      <c r="F41" s="50"/>
      <c r="G41" s="49"/>
    </row>
    <row r="42" customFormat="false" ht="15.75" hidden="false" customHeight="false" outlineLevel="0" collapsed="false">
      <c r="A42" s="35" t="str">
        <f aca="false">IF(ISBLANK(B42),"",_xlfn.ISOWEEKNUM('Journal de travail'!$B42))</f>
        <v/>
      </c>
      <c r="B42" s="46"/>
      <c r="C42" s="37"/>
      <c r="D42" s="38"/>
      <c r="E42" s="39"/>
      <c r="F42" s="50"/>
      <c r="G42" s="47"/>
    </row>
    <row r="43" customFormat="false" ht="15.75" hidden="false" customHeight="false" outlineLevel="0" collapsed="false">
      <c r="A43" s="35" t="str">
        <f aca="false">IF(ISBLANK(B43),"",_xlfn.ISOWEEKNUM('Journal de travail'!$B43))</f>
        <v/>
      </c>
      <c r="B43" s="48"/>
      <c r="C43" s="42"/>
      <c r="D43" s="43"/>
      <c r="E43" s="44"/>
      <c r="F43" s="50"/>
      <c r="G43" s="49"/>
    </row>
    <row r="44" customFormat="false" ht="15.75" hidden="false" customHeight="false" outlineLevel="0" collapsed="false">
      <c r="A44" s="35" t="str">
        <f aca="false">IF(ISBLANK(B44),"",_xlfn.ISOWEEKNUM('Journal de travail'!$B44))</f>
        <v/>
      </c>
      <c r="B44" s="46"/>
      <c r="C44" s="37"/>
      <c r="D44" s="38"/>
      <c r="E44" s="39"/>
      <c r="F44" s="50"/>
      <c r="G44" s="47"/>
    </row>
    <row r="45" customFormat="false" ht="15.75" hidden="false" customHeight="false" outlineLevel="0" collapsed="false">
      <c r="A45" s="35" t="str">
        <f aca="false">IF(ISBLANK(B45),"",_xlfn.ISOWEEKNUM('Journal de travail'!$B45))</f>
        <v/>
      </c>
      <c r="B45" s="48"/>
      <c r="C45" s="42"/>
      <c r="D45" s="43"/>
      <c r="E45" s="44"/>
      <c r="F45" s="50"/>
      <c r="G45" s="49"/>
    </row>
    <row r="46" customFormat="false" ht="15.75" hidden="false" customHeight="false" outlineLevel="0" collapsed="false">
      <c r="A46" s="35" t="str">
        <f aca="false">IF(ISBLANK(B46),"",_xlfn.ISOWEEKNUM('Journal de travail'!$B46))</f>
        <v/>
      </c>
      <c r="B46" s="46"/>
      <c r="C46" s="37"/>
      <c r="D46" s="38"/>
      <c r="E46" s="39"/>
      <c r="F46" s="50"/>
      <c r="G46" s="47"/>
    </row>
    <row r="47" customFormat="false" ht="15.75" hidden="false" customHeight="false" outlineLevel="0" collapsed="false">
      <c r="A47" s="35" t="str">
        <f aca="false">IF(ISBLANK(B47),"",_xlfn.ISOWEEKNUM('Journal de travail'!$B47))</f>
        <v/>
      </c>
      <c r="B47" s="48"/>
      <c r="C47" s="42"/>
      <c r="D47" s="43"/>
      <c r="E47" s="44"/>
      <c r="F47" s="50"/>
      <c r="G47" s="49"/>
    </row>
    <row r="48" customFormat="false" ht="15.75" hidden="false" customHeight="false" outlineLevel="0" collapsed="false">
      <c r="A48" s="35" t="str">
        <f aca="false">IF(ISBLANK(B48),"",_xlfn.ISOWEEKNUM('Journal de travail'!$B48))</f>
        <v/>
      </c>
      <c r="B48" s="46"/>
      <c r="C48" s="37"/>
      <c r="D48" s="38"/>
      <c r="E48" s="39"/>
      <c r="F48" s="50"/>
      <c r="G48" s="47"/>
    </row>
    <row r="49" customFormat="false" ht="15.75" hidden="false" customHeight="false" outlineLevel="0" collapsed="false">
      <c r="A49" s="35" t="str">
        <f aca="false">IF(ISBLANK(B49),"",_xlfn.ISOWEEKNUM('Journal de travail'!$B49))</f>
        <v/>
      </c>
      <c r="B49" s="48"/>
      <c r="C49" s="42"/>
      <c r="D49" s="43"/>
      <c r="E49" s="44"/>
      <c r="F49" s="50"/>
      <c r="G49" s="49"/>
    </row>
    <row r="50" customFormat="false" ht="15.75" hidden="false" customHeight="false" outlineLevel="0" collapsed="false">
      <c r="A50" s="35" t="str">
        <f aca="false">IF(ISBLANK(B50),"",_xlfn.ISOWEEKNUM('Journal de travail'!$B50))</f>
        <v/>
      </c>
      <c r="B50" s="46"/>
      <c r="C50" s="37"/>
      <c r="D50" s="38"/>
      <c r="E50" s="39"/>
      <c r="F50" s="50"/>
      <c r="G50" s="47"/>
    </row>
    <row r="51" customFormat="false" ht="15.75" hidden="false" customHeight="false" outlineLevel="0" collapsed="false">
      <c r="A51" s="35" t="str">
        <f aca="false">IF(ISBLANK(B51),"",_xlfn.ISOWEEKNUM('Journal de travail'!$B51))</f>
        <v/>
      </c>
      <c r="B51" s="48"/>
      <c r="C51" s="42"/>
      <c r="D51" s="43"/>
      <c r="E51" s="44"/>
      <c r="F51" s="50"/>
      <c r="G51" s="49"/>
    </row>
    <row r="52" customFormat="false" ht="15.75" hidden="false" customHeight="false" outlineLevel="0" collapsed="false">
      <c r="A52" s="35" t="str">
        <f aca="false">IF(ISBLANK(B52),"",_xlfn.ISOWEEKNUM('Journal de travail'!$B52))</f>
        <v/>
      </c>
      <c r="B52" s="46"/>
      <c r="C52" s="37"/>
      <c r="D52" s="38"/>
      <c r="E52" s="39"/>
      <c r="F52" s="50"/>
      <c r="G52" s="47"/>
    </row>
    <row r="53" customFormat="false" ht="15.75" hidden="false" customHeight="false" outlineLevel="0" collapsed="false">
      <c r="A53" s="35" t="str">
        <f aca="false">IF(ISBLANK(B53),"",_xlfn.ISOWEEKNUM('Journal de travail'!$B53))</f>
        <v/>
      </c>
      <c r="B53" s="48"/>
      <c r="C53" s="42"/>
      <c r="D53" s="43"/>
      <c r="E53" s="44"/>
      <c r="F53" s="50"/>
      <c r="G53" s="49"/>
    </row>
    <row r="54" customFormat="false" ht="15.75" hidden="false" customHeight="false" outlineLevel="0" collapsed="false">
      <c r="A54" s="35" t="str">
        <f aca="false">IF(ISBLANK(B54),"",_xlfn.ISOWEEKNUM('Journal de travail'!$B54))</f>
        <v/>
      </c>
      <c r="B54" s="46"/>
      <c r="C54" s="37"/>
      <c r="D54" s="38"/>
      <c r="E54" s="39"/>
      <c r="F54" s="50"/>
      <c r="G54" s="47"/>
    </row>
    <row r="55" customFormat="false" ht="15.75" hidden="false" customHeight="false" outlineLevel="0" collapsed="false">
      <c r="A55" s="35" t="str">
        <f aca="false">IF(ISBLANK(B55),"",_xlfn.ISOWEEKNUM('Journal de travail'!$B55))</f>
        <v/>
      </c>
      <c r="B55" s="48"/>
      <c r="C55" s="42"/>
      <c r="D55" s="43"/>
      <c r="E55" s="44"/>
      <c r="F55" s="50"/>
      <c r="G55" s="49"/>
    </row>
    <row r="56" customFormat="false" ht="15.75" hidden="false" customHeight="false" outlineLevel="0" collapsed="false">
      <c r="A56" s="35" t="str">
        <f aca="false">IF(ISBLANK(B56),"",_xlfn.ISOWEEKNUM('Journal de travail'!$B56))</f>
        <v/>
      </c>
      <c r="B56" s="46"/>
      <c r="C56" s="37"/>
      <c r="D56" s="38"/>
      <c r="E56" s="39"/>
      <c r="F56" s="47"/>
      <c r="G56" s="47"/>
    </row>
    <row r="57" customFormat="false" ht="15.75" hidden="false" customHeight="false" outlineLevel="0" collapsed="false">
      <c r="A57" s="35" t="str">
        <f aca="false">IF(ISBLANK(B57),"",_xlfn.ISOWEEKNUM('Journal de travail'!$B57))</f>
        <v/>
      </c>
      <c r="B57" s="48"/>
      <c r="C57" s="42"/>
      <c r="D57" s="43"/>
      <c r="E57" s="44"/>
      <c r="F57" s="49"/>
      <c r="G57" s="49"/>
    </row>
    <row r="58" customFormat="false" ht="15.75" hidden="false" customHeight="false" outlineLevel="0" collapsed="false">
      <c r="A58" s="35" t="str">
        <f aca="false">IF(ISBLANK(B58),"",_xlfn.ISOWEEKNUM('Journal de travail'!$B58))</f>
        <v/>
      </c>
      <c r="B58" s="46"/>
      <c r="C58" s="37"/>
      <c r="D58" s="38"/>
      <c r="E58" s="39"/>
      <c r="F58" s="47"/>
      <c r="G58" s="47"/>
    </row>
    <row r="59" customFormat="false" ht="15.75" hidden="false" customHeight="false" outlineLevel="0" collapsed="false">
      <c r="A59" s="35" t="str">
        <f aca="false">IF(ISBLANK(B59),"",_xlfn.ISOWEEKNUM('Journal de travail'!$B59))</f>
        <v/>
      </c>
      <c r="B59" s="48"/>
      <c r="C59" s="42"/>
      <c r="D59" s="43"/>
      <c r="E59" s="44"/>
      <c r="F59" s="49"/>
      <c r="G59" s="49"/>
    </row>
    <row r="60" customFormat="false" ht="15.75" hidden="false" customHeight="false" outlineLevel="0" collapsed="false">
      <c r="A60" s="35" t="str">
        <f aca="false">IF(ISBLANK(B60),"",_xlfn.ISOWEEKNUM('Journal de travail'!$B60))</f>
        <v/>
      </c>
      <c r="B60" s="46"/>
      <c r="C60" s="37"/>
      <c r="D60" s="38"/>
      <c r="E60" s="39"/>
      <c r="F60" s="47"/>
      <c r="G60" s="47"/>
    </row>
    <row r="61" customFormat="false" ht="15.75" hidden="false" customHeight="false" outlineLevel="0" collapsed="false">
      <c r="A61" s="35" t="str">
        <f aca="false">IF(ISBLANK(B61),"",_xlfn.ISOWEEKNUM('Journal de travail'!$B61))</f>
        <v/>
      </c>
      <c r="B61" s="48"/>
      <c r="C61" s="42"/>
      <c r="D61" s="43"/>
      <c r="E61" s="44"/>
      <c r="F61" s="49"/>
      <c r="G61" s="49"/>
    </row>
    <row r="62" customFormat="false" ht="15.75" hidden="false" customHeight="false" outlineLevel="0" collapsed="false">
      <c r="A62" s="35" t="str">
        <f aca="false">IF(ISBLANK(B62),"",_xlfn.ISOWEEKNUM('Journal de travail'!$B62))</f>
        <v/>
      </c>
      <c r="B62" s="46"/>
      <c r="C62" s="37"/>
      <c r="D62" s="38"/>
      <c r="E62" s="39"/>
      <c r="F62" s="47"/>
      <c r="G62" s="47"/>
    </row>
    <row r="63" customFormat="false" ht="15.75" hidden="false" customHeight="false" outlineLevel="0" collapsed="false">
      <c r="A63" s="35" t="str">
        <f aca="false">IF(ISBLANK(B63),"",_xlfn.ISOWEEKNUM('Journal de travail'!$B63))</f>
        <v/>
      </c>
      <c r="B63" s="48"/>
      <c r="C63" s="42"/>
      <c r="D63" s="43"/>
      <c r="E63" s="44"/>
      <c r="F63" s="49"/>
      <c r="G63" s="49"/>
    </row>
    <row r="64" customFormat="false" ht="15.75" hidden="false" customHeight="false" outlineLevel="0" collapsed="false">
      <c r="A64" s="35" t="str">
        <f aca="false">IF(ISBLANK(B64),"",_xlfn.ISOWEEKNUM('Journal de travail'!$B64))</f>
        <v/>
      </c>
      <c r="B64" s="46"/>
      <c r="C64" s="37"/>
      <c r="D64" s="38"/>
      <c r="E64" s="39"/>
      <c r="F64" s="47"/>
      <c r="G64" s="47"/>
    </row>
    <row r="65" customFormat="false" ht="15.75" hidden="false" customHeight="false" outlineLevel="0" collapsed="false">
      <c r="A65" s="35" t="str">
        <f aca="false">IF(ISBLANK(B65),"",_xlfn.ISOWEEKNUM('Journal de travail'!$B65))</f>
        <v/>
      </c>
      <c r="B65" s="48"/>
      <c r="C65" s="42"/>
      <c r="D65" s="43"/>
      <c r="E65" s="44"/>
      <c r="F65" s="49"/>
      <c r="G65" s="49"/>
    </row>
    <row r="66" customFormat="false" ht="15.75" hidden="false" customHeight="false" outlineLevel="0" collapsed="false">
      <c r="A66" s="35" t="str">
        <f aca="false">IF(ISBLANK(B66),"",_xlfn.ISOWEEKNUM('Journal de travail'!$B66))</f>
        <v/>
      </c>
      <c r="B66" s="46"/>
      <c r="C66" s="37"/>
      <c r="D66" s="38"/>
      <c r="E66" s="39"/>
      <c r="F66" s="47"/>
      <c r="G66" s="47"/>
    </row>
    <row r="67" customFormat="false" ht="15.75" hidden="false" customHeight="false" outlineLevel="0" collapsed="false">
      <c r="A67" s="35" t="str">
        <f aca="false">IF(ISBLANK(B67),"",_xlfn.ISOWEEKNUM('Journal de travail'!$B67))</f>
        <v/>
      </c>
      <c r="B67" s="48"/>
      <c r="C67" s="42"/>
      <c r="D67" s="43"/>
      <c r="E67" s="44"/>
      <c r="F67" s="49"/>
      <c r="G67" s="49"/>
    </row>
    <row r="68" customFormat="false" ht="15.75" hidden="false" customHeight="false" outlineLevel="0" collapsed="false">
      <c r="A68" s="35" t="str">
        <f aca="false">IF(ISBLANK(B68),"",_xlfn.ISOWEEKNUM('Journal de travail'!$B68))</f>
        <v/>
      </c>
      <c r="B68" s="46"/>
      <c r="C68" s="37"/>
      <c r="D68" s="38"/>
      <c r="E68" s="39"/>
      <c r="F68" s="47"/>
      <c r="G68" s="47"/>
    </row>
    <row r="69" customFormat="false" ht="15.75" hidden="false" customHeight="false" outlineLevel="0" collapsed="false">
      <c r="A69" s="35" t="str">
        <f aca="false">IF(ISBLANK(B69),"",_xlfn.ISOWEEKNUM('Journal de travail'!$B69))</f>
        <v/>
      </c>
      <c r="B69" s="48"/>
      <c r="C69" s="42"/>
      <c r="D69" s="43"/>
      <c r="E69" s="44"/>
      <c r="F69" s="49"/>
      <c r="G69" s="49"/>
    </row>
    <row r="70" customFormat="false" ht="15.75" hidden="false" customHeight="false" outlineLevel="0" collapsed="false">
      <c r="A70" s="35" t="str">
        <f aca="false">IF(ISBLANK(B70),"",_xlfn.ISOWEEKNUM('Journal de travail'!$B70))</f>
        <v/>
      </c>
      <c r="B70" s="46"/>
      <c r="C70" s="37"/>
      <c r="D70" s="38"/>
      <c r="E70" s="39"/>
      <c r="F70" s="47"/>
      <c r="G70" s="47"/>
    </row>
    <row r="71" customFormat="false" ht="15.75" hidden="false" customHeight="false" outlineLevel="0" collapsed="false">
      <c r="A71" s="35" t="str">
        <f aca="false">IF(ISBLANK(B71),"",_xlfn.ISOWEEKNUM('Journal de travail'!$B71))</f>
        <v/>
      </c>
      <c r="B71" s="48"/>
      <c r="C71" s="42"/>
      <c r="D71" s="43"/>
      <c r="E71" s="44"/>
      <c r="F71" s="49"/>
      <c r="G71" s="49"/>
    </row>
    <row r="72" customFormat="false" ht="15.75" hidden="false" customHeight="false" outlineLevel="0" collapsed="false">
      <c r="A72" s="35" t="str">
        <f aca="false">IF(ISBLANK(B72),"",_xlfn.ISOWEEKNUM('Journal de travail'!$B72))</f>
        <v/>
      </c>
      <c r="B72" s="46"/>
      <c r="C72" s="37"/>
      <c r="D72" s="38"/>
      <c r="E72" s="39"/>
      <c r="F72" s="47"/>
      <c r="G72" s="47"/>
    </row>
    <row r="73" customFormat="false" ht="15.75" hidden="false" customHeight="false" outlineLevel="0" collapsed="false">
      <c r="A73" s="35" t="str">
        <f aca="false">IF(ISBLANK(B73),"",_xlfn.ISOWEEKNUM('Journal de travail'!$B73))</f>
        <v/>
      </c>
      <c r="B73" s="48"/>
      <c r="C73" s="42"/>
      <c r="D73" s="43"/>
      <c r="E73" s="44"/>
      <c r="F73" s="49"/>
      <c r="G73" s="49"/>
    </row>
    <row r="74" customFormat="false" ht="15.75" hidden="false" customHeight="false" outlineLevel="0" collapsed="false">
      <c r="A74" s="35" t="str">
        <f aca="false">IF(ISBLANK(B74),"",_xlfn.ISOWEEKNUM('Journal de travail'!$B74))</f>
        <v/>
      </c>
      <c r="B74" s="46"/>
      <c r="C74" s="37"/>
      <c r="D74" s="38"/>
      <c r="E74" s="39"/>
      <c r="F74" s="47"/>
      <c r="G74" s="47"/>
    </row>
    <row r="75" customFormat="false" ht="15.75" hidden="false" customHeight="false" outlineLevel="0" collapsed="false">
      <c r="A75" s="35" t="str">
        <f aca="false">IF(ISBLANK(B75),"",_xlfn.ISOWEEKNUM('Journal de travail'!$B75))</f>
        <v/>
      </c>
      <c r="B75" s="48"/>
      <c r="C75" s="42"/>
      <c r="D75" s="43"/>
      <c r="E75" s="44"/>
      <c r="F75" s="49"/>
      <c r="G75" s="49"/>
    </row>
    <row r="76" customFormat="false" ht="15.75" hidden="false" customHeight="false" outlineLevel="0" collapsed="false">
      <c r="A76" s="35" t="str">
        <f aca="false">IF(ISBLANK(B76),"",_xlfn.ISOWEEKNUM('Journal de travail'!$B76))</f>
        <v/>
      </c>
      <c r="B76" s="46"/>
      <c r="C76" s="37"/>
      <c r="D76" s="38"/>
      <c r="E76" s="39"/>
      <c r="F76" s="47"/>
      <c r="G76" s="47"/>
    </row>
    <row r="77" customFormat="false" ht="15.75" hidden="false" customHeight="false" outlineLevel="0" collapsed="false">
      <c r="A77" s="35" t="str">
        <f aca="false">IF(ISBLANK(B77),"",_xlfn.ISOWEEKNUM('Journal de travail'!$B77))</f>
        <v/>
      </c>
      <c r="B77" s="48"/>
      <c r="C77" s="42"/>
      <c r="D77" s="43"/>
      <c r="E77" s="44"/>
      <c r="F77" s="49"/>
      <c r="G77" s="49"/>
    </row>
    <row r="78" customFormat="false" ht="15.75" hidden="false" customHeight="false" outlineLevel="0" collapsed="false">
      <c r="A78" s="35" t="str">
        <f aca="false">IF(ISBLANK(B78),"",_xlfn.ISOWEEKNUM('Journal de travail'!$B78))</f>
        <v/>
      </c>
      <c r="B78" s="46"/>
      <c r="C78" s="37"/>
      <c r="D78" s="38"/>
      <c r="E78" s="39"/>
      <c r="F78" s="47"/>
      <c r="G78" s="47"/>
    </row>
    <row r="79" customFormat="false" ht="15.75" hidden="false" customHeight="false" outlineLevel="0" collapsed="false">
      <c r="A79" s="35" t="str">
        <f aca="false">IF(ISBLANK(B79),"",_xlfn.ISOWEEKNUM('Journal de travail'!$B79))</f>
        <v/>
      </c>
      <c r="B79" s="48"/>
      <c r="C79" s="42"/>
      <c r="D79" s="43"/>
      <c r="E79" s="44"/>
      <c r="F79" s="49"/>
      <c r="G79" s="49"/>
    </row>
    <row r="80" customFormat="false" ht="15.75" hidden="false" customHeight="false" outlineLevel="0" collapsed="false">
      <c r="A80" s="35" t="str">
        <f aca="false">IF(ISBLANK(B80),"",_xlfn.ISOWEEKNUM('Journal de travail'!$B80))</f>
        <v/>
      </c>
      <c r="B80" s="46"/>
      <c r="C80" s="37"/>
      <c r="D80" s="38"/>
      <c r="E80" s="39"/>
      <c r="F80" s="47"/>
      <c r="G80" s="47"/>
    </row>
    <row r="81" customFormat="false" ht="15.75" hidden="false" customHeight="false" outlineLevel="0" collapsed="false">
      <c r="A81" s="35" t="str">
        <f aca="false">IF(ISBLANK(B81),"",_xlfn.ISOWEEKNUM('Journal de travail'!$B81))</f>
        <v/>
      </c>
      <c r="B81" s="48"/>
      <c r="C81" s="42"/>
      <c r="D81" s="43"/>
      <c r="E81" s="44"/>
      <c r="F81" s="49"/>
      <c r="G81" s="49"/>
    </row>
    <row r="82" customFormat="false" ht="15.75" hidden="false" customHeight="false" outlineLevel="0" collapsed="false">
      <c r="A82" s="35" t="str">
        <f aca="false">IF(ISBLANK(B82),"",_xlfn.ISOWEEKNUM('Journal de travail'!$B82))</f>
        <v/>
      </c>
      <c r="B82" s="46"/>
      <c r="C82" s="37"/>
      <c r="D82" s="38"/>
      <c r="E82" s="39"/>
      <c r="F82" s="47"/>
      <c r="G82" s="47"/>
    </row>
    <row r="83" customFormat="false" ht="15.75" hidden="false" customHeight="false" outlineLevel="0" collapsed="false">
      <c r="A83" s="35" t="str">
        <f aca="false">IF(ISBLANK(B83),"",_xlfn.ISOWEEKNUM('Journal de travail'!$B83))</f>
        <v/>
      </c>
      <c r="B83" s="48"/>
      <c r="C83" s="42"/>
      <c r="D83" s="43"/>
      <c r="E83" s="44"/>
      <c r="F83" s="49"/>
      <c r="G83" s="49"/>
    </row>
    <row r="84" customFormat="false" ht="15.75" hidden="false" customHeight="false" outlineLevel="0" collapsed="false">
      <c r="A84" s="35" t="str">
        <f aca="false">IF(ISBLANK(B84),"",_xlfn.ISOWEEKNUM('Journal de travail'!$B84))</f>
        <v/>
      </c>
      <c r="B84" s="46"/>
      <c r="C84" s="37"/>
      <c r="D84" s="38"/>
      <c r="E84" s="39"/>
      <c r="F84" s="47"/>
      <c r="G84" s="47"/>
    </row>
    <row r="85" customFormat="false" ht="15.75" hidden="false" customHeight="false" outlineLevel="0" collapsed="false">
      <c r="A85" s="35" t="str">
        <f aca="false">IF(ISBLANK(B85),"",_xlfn.ISOWEEKNUM('Journal de travail'!$B85))</f>
        <v/>
      </c>
      <c r="B85" s="48"/>
      <c r="C85" s="42"/>
      <c r="D85" s="43"/>
      <c r="E85" s="44"/>
      <c r="F85" s="49"/>
      <c r="G85" s="49"/>
    </row>
    <row r="86" customFormat="false" ht="15.75" hidden="false" customHeight="false" outlineLevel="0" collapsed="false">
      <c r="A86" s="35" t="str">
        <f aca="false">IF(ISBLANK(B86),"",_xlfn.ISOWEEKNUM('Journal de travail'!$B86))</f>
        <v/>
      </c>
      <c r="B86" s="46"/>
      <c r="C86" s="37"/>
      <c r="D86" s="38"/>
      <c r="E86" s="39"/>
      <c r="F86" s="47"/>
      <c r="G86" s="47"/>
    </row>
    <row r="87" customFormat="false" ht="15.75" hidden="false" customHeight="false" outlineLevel="0" collapsed="false">
      <c r="A87" s="35" t="str">
        <f aca="false">IF(ISBLANK(B87),"",_xlfn.ISOWEEKNUM('Journal de travail'!$B87))</f>
        <v/>
      </c>
      <c r="B87" s="48"/>
      <c r="C87" s="42"/>
      <c r="D87" s="43"/>
      <c r="E87" s="44"/>
      <c r="F87" s="49"/>
      <c r="G87" s="49"/>
    </row>
    <row r="88" customFormat="false" ht="15.75" hidden="false" customHeight="false" outlineLevel="0" collapsed="false">
      <c r="A88" s="35" t="str">
        <f aca="false">IF(ISBLANK(B88),"",_xlfn.ISOWEEKNUM('Journal de travail'!$B88))</f>
        <v/>
      </c>
      <c r="B88" s="46"/>
      <c r="C88" s="37"/>
      <c r="D88" s="38"/>
      <c r="E88" s="39"/>
      <c r="F88" s="47"/>
      <c r="G88" s="47"/>
    </row>
    <row r="89" customFormat="false" ht="15.75" hidden="false" customHeight="false" outlineLevel="0" collapsed="false">
      <c r="A89" s="35" t="str">
        <f aca="false">IF(ISBLANK(B89),"",_xlfn.ISOWEEKNUM('Journal de travail'!$B89))</f>
        <v/>
      </c>
      <c r="B89" s="48"/>
      <c r="C89" s="42"/>
      <c r="D89" s="43"/>
      <c r="E89" s="44"/>
      <c r="F89" s="49"/>
      <c r="G89" s="49"/>
    </row>
    <row r="90" customFormat="false" ht="15.75" hidden="false" customHeight="false" outlineLevel="0" collapsed="false">
      <c r="A90" s="35" t="str">
        <f aca="false">IF(ISBLANK(B90),"",_xlfn.ISOWEEKNUM('Journal de travail'!$B90))</f>
        <v/>
      </c>
      <c r="B90" s="46"/>
      <c r="C90" s="37"/>
      <c r="D90" s="38"/>
      <c r="E90" s="39"/>
      <c r="F90" s="47"/>
      <c r="G90" s="47"/>
    </row>
    <row r="91" customFormat="false" ht="15.75" hidden="false" customHeight="false" outlineLevel="0" collapsed="false">
      <c r="A91" s="35" t="str">
        <f aca="false">IF(ISBLANK(B91),"",_xlfn.ISOWEEKNUM('Journal de travail'!$B91))</f>
        <v/>
      </c>
      <c r="B91" s="48"/>
      <c r="C91" s="42"/>
      <c r="D91" s="43"/>
      <c r="E91" s="44"/>
      <c r="F91" s="49"/>
      <c r="G91" s="49"/>
    </row>
    <row r="92" customFormat="false" ht="15.75" hidden="false" customHeight="false" outlineLevel="0" collapsed="false">
      <c r="A92" s="35" t="str">
        <f aca="false">IF(ISBLANK(B92),"",_xlfn.ISOWEEKNUM('Journal de travail'!$B92))</f>
        <v/>
      </c>
      <c r="B92" s="46"/>
      <c r="C92" s="37"/>
      <c r="D92" s="38"/>
      <c r="E92" s="39"/>
      <c r="F92" s="47"/>
      <c r="G92" s="47"/>
    </row>
    <row r="93" customFormat="false" ht="15.75" hidden="false" customHeight="false" outlineLevel="0" collapsed="false">
      <c r="A93" s="35" t="str">
        <f aca="false">IF(ISBLANK(B93),"",_xlfn.ISOWEEKNUM('Journal de travail'!$B93))</f>
        <v/>
      </c>
      <c r="B93" s="48"/>
      <c r="C93" s="42"/>
      <c r="D93" s="43"/>
      <c r="E93" s="44"/>
      <c r="F93" s="49"/>
      <c r="G93" s="49"/>
    </row>
    <row r="94" customFormat="false" ht="15.75" hidden="false" customHeight="false" outlineLevel="0" collapsed="false">
      <c r="A94" s="35" t="str">
        <f aca="false">IF(ISBLANK(B94),"",_xlfn.ISOWEEKNUM('Journal de travail'!$B94))</f>
        <v/>
      </c>
      <c r="B94" s="46"/>
      <c r="C94" s="37"/>
      <c r="D94" s="38"/>
      <c r="E94" s="39"/>
      <c r="F94" s="47"/>
      <c r="G94" s="47"/>
    </row>
    <row r="95" customFormat="false" ht="15.75" hidden="false" customHeight="false" outlineLevel="0" collapsed="false">
      <c r="A95" s="35" t="str">
        <f aca="false">IF(ISBLANK(B95),"",_xlfn.ISOWEEKNUM('Journal de travail'!$B95))</f>
        <v/>
      </c>
      <c r="B95" s="48"/>
      <c r="C95" s="42"/>
      <c r="D95" s="43"/>
      <c r="E95" s="44"/>
      <c r="F95" s="49"/>
      <c r="G95" s="49"/>
    </row>
    <row r="96" customFormat="false" ht="15.75" hidden="false" customHeight="false" outlineLevel="0" collapsed="false">
      <c r="A96" s="35" t="str">
        <f aca="false">IF(ISBLANK(B96),"",_xlfn.ISOWEEKNUM('Journal de travail'!$B96))</f>
        <v/>
      </c>
      <c r="B96" s="46"/>
      <c r="C96" s="37"/>
      <c r="D96" s="38"/>
      <c r="E96" s="39"/>
      <c r="F96" s="47"/>
      <c r="G96" s="47"/>
    </row>
    <row r="97" customFormat="false" ht="15.75" hidden="false" customHeight="false" outlineLevel="0" collapsed="false">
      <c r="A97" s="35" t="str">
        <f aca="false">IF(ISBLANK(B97),"",_xlfn.ISOWEEKNUM('Journal de travail'!$B97))</f>
        <v/>
      </c>
      <c r="B97" s="48"/>
      <c r="C97" s="42"/>
      <c r="D97" s="43"/>
      <c r="E97" s="44"/>
      <c r="F97" s="49"/>
      <c r="G97" s="49"/>
    </row>
    <row r="98" customFormat="false" ht="15.75" hidden="false" customHeight="false" outlineLevel="0" collapsed="false">
      <c r="A98" s="35" t="str">
        <f aca="false">IF(ISBLANK(B98),"",_xlfn.ISOWEEKNUM('Journal de travail'!$B98))</f>
        <v/>
      </c>
      <c r="B98" s="46"/>
      <c r="C98" s="37"/>
      <c r="D98" s="38"/>
      <c r="E98" s="39"/>
      <c r="F98" s="47"/>
      <c r="G98" s="47"/>
    </row>
    <row r="99" customFormat="false" ht="15.75" hidden="false" customHeight="false" outlineLevel="0" collapsed="false">
      <c r="A99" s="35" t="str">
        <f aca="false">IF(ISBLANK(B99),"",_xlfn.ISOWEEKNUM('Journal de travail'!$B99))</f>
        <v/>
      </c>
      <c r="B99" s="48"/>
      <c r="C99" s="42"/>
      <c r="D99" s="43"/>
      <c r="E99" s="44"/>
      <c r="F99" s="49"/>
      <c r="G99" s="49"/>
    </row>
    <row r="100" customFormat="false" ht="15.75" hidden="false" customHeight="false" outlineLevel="0" collapsed="false">
      <c r="A100" s="35" t="str">
        <f aca="false">IF(ISBLANK(B100),"",_xlfn.ISOWEEKNUM('Journal de travail'!$B100))</f>
        <v/>
      </c>
      <c r="B100" s="46"/>
      <c r="C100" s="37"/>
      <c r="D100" s="38"/>
      <c r="E100" s="39"/>
      <c r="F100" s="47"/>
      <c r="G100" s="47"/>
    </row>
    <row r="101" customFormat="false" ht="15.75" hidden="false" customHeight="false" outlineLevel="0" collapsed="false">
      <c r="A101" s="35" t="str">
        <f aca="false">IF(ISBLANK(B101),"",_xlfn.ISOWEEKNUM('Journal de travail'!$B101))</f>
        <v/>
      </c>
      <c r="B101" s="48"/>
      <c r="C101" s="42"/>
      <c r="D101" s="43"/>
      <c r="E101" s="44"/>
      <c r="F101" s="49"/>
      <c r="G101" s="49"/>
    </row>
    <row r="102" customFormat="false" ht="15.75" hidden="false" customHeight="false" outlineLevel="0" collapsed="false">
      <c r="A102" s="35" t="str">
        <f aca="false">IF(ISBLANK(B102),"",_xlfn.ISOWEEKNUM('Journal de travail'!$B102))</f>
        <v/>
      </c>
      <c r="B102" s="46"/>
      <c r="C102" s="37"/>
      <c r="D102" s="38"/>
      <c r="E102" s="39"/>
      <c r="F102" s="47"/>
      <c r="G102" s="47"/>
    </row>
    <row r="103" customFormat="false" ht="15.75" hidden="false" customHeight="false" outlineLevel="0" collapsed="false">
      <c r="A103" s="35" t="str">
        <f aca="false">IF(ISBLANK(B103),"",_xlfn.ISOWEEKNUM('Journal de travail'!$B103))</f>
        <v/>
      </c>
      <c r="B103" s="48"/>
      <c r="C103" s="42"/>
      <c r="D103" s="43"/>
      <c r="E103" s="44"/>
      <c r="F103" s="49"/>
      <c r="G103" s="49"/>
    </row>
    <row r="104" customFormat="false" ht="15.75" hidden="false" customHeight="false" outlineLevel="0" collapsed="false">
      <c r="A104" s="35" t="str">
        <f aca="false">IF(ISBLANK(B104),"",_xlfn.ISOWEEKNUM('Journal de travail'!$B104))</f>
        <v/>
      </c>
      <c r="B104" s="46"/>
      <c r="C104" s="37"/>
      <c r="D104" s="38"/>
      <c r="E104" s="39"/>
      <c r="F104" s="47"/>
      <c r="G104" s="47"/>
    </row>
    <row r="105" customFormat="false" ht="15.75" hidden="false" customHeight="false" outlineLevel="0" collapsed="false">
      <c r="A105" s="35" t="str">
        <f aca="false">IF(ISBLANK(B105),"",_xlfn.ISOWEEKNUM('Journal de travail'!$B105))</f>
        <v/>
      </c>
      <c r="B105" s="48"/>
      <c r="C105" s="42"/>
      <c r="D105" s="43"/>
      <c r="E105" s="44"/>
      <c r="F105" s="49"/>
      <c r="G105" s="49"/>
    </row>
    <row r="106" customFormat="false" ht="15.75" hidden="false" customHeight="false" outlineLevel="0" collapsed="false">
      <c r="A106" s="35" t="str">
        <f aca="false">IF(ISBLANK(B106),"",_xlfn.ISOWEEKNUM('Journal de travail'!$B106))</f>
        <v/>
      </c>
      <c r="B106" s="46"/>
      <c r="C106" s="37"/>
      <c r="D106" s="38"/>
      <c r="E106" s="39"/>
      <c r="F106" s="47"/>
      <c r="G106" s="47"/>
    </row>
    <row r="107" customFormat="false" ht="15.75" hidden="false" customHeight="false" outlineLevel="0" collapsed="false">
      <c r="A107" s="35" t="str">
        <f aca="false">IF(ISBLANK(B107),"",_xlfn.ISOWEEKNUM('Journal de travail'!$B107))</f>
        <v/>
      </c>
      <c r="B107" s="48"/>
      <c r="C107" s="42"/>
      <c r="D107" s="43"/>
      <c r="E107" s="44"/>
      <c r="F107" s="49"/>
      <c r="G107" s="49"/>
    </row>
    <row r="108" customFormat="false" ht="15.75" hidden="false" customHeight="false" outlineLevel="0" collapsed="false">
      <c r="A108" s="35" t="str">
        <f aca="false">IF(ISBLANK(B108),"",_xlfn.ISOWEEKNUM('Journal de travail'!$B108))</f>
        <v/>
      </c>
      <c r="B108" s="46"/>
      <c r="C108" s="37"/>
      <c r="D108" s="38"/>
      <c r="E108" s="39"/>
      <c r="F108" s="47"/>
      <c r="G108" s="47"/>
    </row>
    <row r="109" customFormat="false" ht="15.75" hidden="false" customHeight="false" outlineLevel="0" collapsed="false">
      <c r="A109" s="35" t="str">
        <f aca="false">IF(ISBLANK(B109),"",_xlfn.ISOWEEKNUM('Journal de travail'!$B109))</f>
        <v/>
      </c>
      <c r="B109" s="48"/>
      <c r="C109" s="42"/>
      <c r="D109" s="43"/>
      <c r="E109" s="44"/>
      <c r="F109" s="49"/>
      <c r="G109" s="49"/>
    </row>
    <row r="110" customFormat="false" ht="15.75" hidden="false" customHeight="false" outlineLevel="0" collapsed="false">
      <c r="A110" s="35" t="str">
        <f aca="false">IF(ISBLANK(B110),"",_xlfn.ISOWEEKNUM('Journal de travail'!$B110))</f>
        <v/>
      </c>
      <c r="B110" s="46"/>
      <c r="C110" s="37"/>
      <c r="D110" s="38"/>
      <c r="E110" s="39"/>
      <c r="F110" s="47"/>
      <c r="G110" s="47"/>
    </row>
    <row r="111" customFormat="false" ht="15.75" hidden="false" customHeight="false" outlineLevel="0" collapsed="false">
      <c r="A111" s="35" t="str">
        <f aca="false">IF(ISBLANK(B111),"",_xlfn.ISOWEEKNUM('Journal de travail'!$B111))</f>
        <v/>
      </c>
      <c r="B111" s="48"/>
      <c r="C111" s="42"/>
      <c r="D111" s="43"/>
      <c r="E111" s="44"/>
      <c r="F111" s="49"/>
      <c r="G111" s="49"/>
    </row>
    <row r="112" customFormat="false" ht="15.75" hidden="false" customHeight="false" outlineLevel="0" collapsed="false">
      <c r="A112" s="35" t="str">
        <f aca="false">IF(ISBLANK(B112),"",_xlfn.ISOWEEKNUM('Journal de travail'!$B112))</f>
        <v/>
      </c>
      <c r="B112" s="46"/>
      <c r="C112" s="37"/>
      <c r="D112" s="38"/>
      <c r="E112" s="39"/>
      <c r="F112" s="47"/>
      <c r="G112" s="47"/>
    </row>
    <row r="113" customFormat="false" ht="15.75" hidden="false" customHeight="false" outlineLevel="0" collapsed="false">
      <c r="A113" s="35" t="str">
        <f aca="false">IF(ISBLANK(B113),"",_xlfn.ISOWEEKNUM('Journal de travail'!$B113))</f>
        <v/>
      </c>
      <c r="B113" s="48"/>
      <c r="C113" s="42"/>
      <c r="D113" s="43"/>
      <c r="E113" s="44"/>
      <c r="F113" s="49"/>
      <c r="G113" s="49"/>
    </row>
    <row r="114" customFormat="false" ht="15.75" hidden="false" customHeight="false" outlineLevel="0" collapsed="false">
      <c r="A114" s="35" t="str">
        <f aca="false">IF(ISBLANK(B114),"",_xlfn.ISOWEEKNUM('Journal de travail'!$B114))</f>
        <v/>
      </c>
      <c r="B114" s="46"/>
      <c r="C114" s="37"/>
      <c r="D114" s="38"/>
      <c r="E114" s="39"/>
      <c r="F114" s="47"/>
      <c r="G114" s="47"/>
    </row>
    <row r="115" customFormat="false" ht="15.75" hidden="false" customHeight="false" outlineLevel="0" collapsed="false">
      <c r="A115" s="35" t="str">
        <f aca="false">IF(ISBLANK(B115),"",_xlfn.ISOWEEKNUM('Journal de travail'!$B115))</f>
        <v/>
      </c>
      <c r="B115" s="48"/>
      <c r="C115" s="42"/>
      <c r="D115" s="43"/>
      <c r="E115" s="44"/>
      <c r="F115" s="49"/>
      <c r="G115" s="49"/>
    </row>
    <row r="116" customFormat="false" ht="15.75" hidden="false" customHeight="false" outlineLevel="0" collapsed="false">
      <c r="A116" s="35" t="str">
        <f aca="false">IF(ISBLANK(B116),"",_xlfn.ISOWEEKNUM('Journal de travail'!$B116))</f>
        <v/>
      </c>
      <c r="B116" s="46"/>
      <c r="C116" s="37"/>
      <c r="D116" s="38"/>
      <c r="E116" s="39"/>
      <c r="F116" s="47"/>
      <c r="G116" s="47"/>
    </row>
    <row r="117" customFormat="false" ht="15.75" hidden="false" customHeight="false" outlineLevel="0" collapsed="false">
      <c r="A117" s="35" t="str">
        <f aca="false">IF(ISBLANK(B117),"",_xlfn.ISOWEEKNUM('Journal de travail'!$B117))</f>
        <v/>
      </c>
      <c r="B117" s="48"/>
      <c r="C117" s="42"/>
      <c r="D117" s="43"/>
      <c r="E117" s="44"/>
      <c r="F117" s="49"/>
      <c r="G117" s="49"/>
    </row>
    <row r="118" customFormat="false" ht="15.75" hidden="false" customHeight="false" outlineLevel="0" collapsed="false">
      <c r="A118" s="35" t="str">
        <f aca="false">IF(ISBLANK(B118),"",_xlfn.ISOWEEKNUM('Journal de travail'!$B118))</f>
        <v/>
      </c>
      <c r="B118" s="46"/>
      <c r="C118" s="37"/>
      <c r="D118" s="38"/>
      <c r="E118" s="39"/>
      <c r="F118" s="47"/>
      <c r="G118" s="47"/>
    </row>
    <row r="119" customFormat="false" ht="15.75" hidden="false" customHeight="false" outlineLevel="0" collapsed="false">
      <c r="A119" s="35" t="str">
        <f aca="false">IF(ISBLANK(B119),"",_xlfn.ISOWEEKNUM('Journal de travail'!$B119))</f>
        <v/>
      </c>
      <c r="B119" s="48"/>
      <c r="C119" s="42"/>
      <c r="D119" s="43"/>
      <c r="E119" s="44"/>
      <c r="F119" s="49"/>
      <c r="G119" s="49"/>
    </row>
    <row r="120" customFormat="false" ht="15.75" hidden="false" customHeight="false" outlineLevel="0" collapsed="false">
      <c r="A120" s="35" t="str">
        <f aca="false">IF(ISBLANK(B120),"",_xlfn.ISOWEEKNUM('Journal de travail'!$B120))</f>
        <v/>
      </c>
      <c r="B120" s="46"/>
      <c r="C120" s="37"/>
      <c r="D120" s="38"/>
      <c r="E120" s="39"/>
      <c r="F120" s="47"/>
      <c r="G120" s="47"/>
    </row>
    <row r="121" customFormat="false" ht="15.75" hidden="false" customHeight="false" outlineLevel="0" collapsed="false">
      <c r="A121" s="35" t="str">
        <f aca="false">IF(ISBLANK(B121),"",_xlfn.ISOWEEKNUM('Journal de travail'!$B121))</f>
        <v/>
      </c>
      <c r="B121" s="48"/>
      <c r="C121" s="42"/>
      <c r="D121" s="43"/>
      <c r="E121" s="44"/>
      <c r="F121" s="49"/>
      <c r="G121" s="49"/>
    </row>
    <row r="122" customFormat="false" ht="15.75" hidden="false" customHeight="false" outlineLevel="0" collapsed="false">
      <c r="A122" s="35" t="str">
        <f aca="false">IF(ISBLANK(B122),"",_xlfn.ISOWEEKNUM('Journal de travail'!$B122))</f>
        <v/>
      </c>
      <c r="B122" s="46"/>
      <c r="C122" s="37"/>
      <c r="D122" s="38"/>
      <c r="E122" s="39"/>
      <c r="F122" s="47"/>
      <c r="G122" s="47"/>
    </row>
    <row r="123" customFormat="false" ht="15.75" hidden="false" customHeight="false" outlineLevel="0" collapsed="false">
      <c r="A123" s="35" t="str">
        <f aca="false">IF(ISBLANK(B123),"",_xlfn.ISOWEEKNUM('Journal de travail'!$B123))</f>
        <v/>
      </c>
      <c r="B123" s="48"/>
      <c r="C123" s="42"/>
      <c r="D123" s="43"/>
      <c r="E123" s="44"/>
      <c r="F123" s="49"/>
      <c r="G123" s="49"/>
    </row>
    <row r="124" customFormat="false" ht="15.75" hidden="false" customHeight="false" outlineLevel="0" collapsed="false">
      <c r="A124" s="35" t="str">
        <f aca="false">IF(ISBLANK(B124),"",_xlfn.ISOWEEKNUM('Journal de travail'!$B124))</f>
        <v/>
      </c>
      <c r="B124" s="46"/>
      <c r="C124" s="37"/>
      <c r="D124" s="38"/>
      <c r="E124" s="39"/>
      <c r="F124" s="47"/>
      <c r="G124" s="47"/>
    </row>
    <row r="125" customFormat="false" ht="15.75" hidden="false" customHeight="false" outlineLevel="0" collapsed="false">
      <c r="A125" s="35" t="str">
        <f aca="false">IF(ISBLANK(B125),"",_xlfn.ISOWEEKNUM('Journal de travail'!$B125))</f>
        <v/>
      </c>
      <c r="B125" s="48"/>
      <c r="C125" s="42"/>
      <c r="D125" s="43"/>
      <c r="E125" s="44"/>
      <c r="F125" s="49"/>
      <c r="G125" s="49"/>
    </row>
    <row r="126" customFormat="false" ht="15.75" hidden="false" customHeight="false" outlineLevel="0" collapsed="false">
      <c r="A126" s="35" t="str">
        <f aca="false">IF(ISBLANK(B126),"",_xlfn.ISOWEEKNUM('Journal de travail'!$B126))</f>
        <v/>
      </c>
      <c r="B126" s="46"/>
      <c r="C126" s="37"/>
      <c r="D126" s="38"/>
      <c r="E126" s="39"/>
      <c r="F126" s="47"/>
      <c r="G126" s="47"/>
    </row>
    <row r="127" customFormat="false" ht="15.75" hidden="false" customHeight="false" outlineLevel="0" collapsed="false">
      <c r="A127" s="35" t="str">
        <f aca="false">IF(ISBLANK(B127),"",_xlfn.ISOWEEKNUM('Journal de travail'!$B127))</f>
        <v/>
      </c>
      <c r="B127" s="48"/>
      <c r="C127" s="42"/>
      <c r="D127" s="43"/>
      <c r="E127" s="44"/>
      <c r="F127" s="49"/>
      <c r="G127" s="49"/>
    </row>
    <row r="128" customFormat="false" ht="15.75" hidden="false" customHeight="false" outlineLevel="0" collapsed="false">
      <c r="A128" s="35" t="str">
        <f aca="false">IF(ISBLANK(B128),"",_xlfn.ISOWEEKNUM('Journal de travail'!$B128))</f>
        <v/>
      </c>
      <c r="B128" s="46"/>
      <c r="C128" s="37"/>
      <c r="D128" s="38"/>
      <c r="E128" s="39"/>
      <c r="F128" s="47"/>
      <c r="G128" s="47"/>
    </row>
    <row r="129" customFormat="false" ht="15.75" hidden="false" customHeight="false" outlineLevel="0" collapsed="false">
      <c r="A129" s="35" t="str">
        <f aca="false">IF(ISBLANK(B129),"",_xlfn.ISOWEEKNUM('Journal de travail'!$B129))</f>
        <v/>
      </c>
      <c r="B129" s="48"/>
      <c r="C129" s="42"/>
      <c r="D129" s="43"/>
      <c r="E129" s="44"/>
      <c r="F129" s="49"/>
      <c r="G129" s="49"/>
    </row>
    <row r="130" customFormat="false" ht="15.75" hidden="false" customHeight="false" outlineLevel="0" collapsed="false">
      <c r="A130" s="35" t="str">
        <f aca="false">IF(ISBLANK(B130),"",_xlfn.ISOWEEKNUM('Journal de travail'!$B130))</f>
        <v/>
      </c>
      <c r="B130" s="46"/>
      <c r="C130" s="37"/>
      <c r="D130" s="38"/>
      <c r="E130" s="39"/>
      <c r="F130" s="47"/>
      <c r="G130" s="47"/>
    </row>
    <row r="131" customFormat="false" ht="15.75" hidden="false" customHeight="false" outlineLevel="0" collapsed="false">
      <c r="A131" s="35" t="str">
        <f aca="false">IF(ISBLANK(B131),"",_xlfn.ISOWEEKNUM('Journal de travail'!$B131))</f>
        <v/>
      </c>
      <c r="B131" s="48"/>
      <c r="C131" s="42"/>
      <c r="D131" s="43"/>
      <c r="E131" s="44"/>
      <c r="F131" s="49"/>
      <c r="G131" s="49"/>
    </row>
    <row r="132" customFormat="false" ht="15.75" hidden="false" customHeight="false" outlineLevel="0" collapsed="false">
      <c r="A132" s="35" t="str">
        <f aca="false">IF(ISBLANK(B132),"",_xlfn.ISOWEEKNUM('Journal de travail'!$B132))</f>
        <v/>
      </c>
      <c r="B132" s="46"/>
      <c r="C132" s="37"/>
      <c r="D132" s="38"/>
      <c r="E132" s="39"/>
      <c r="F132" s="47"/>
      <c r="G132" s="47"/>
    </row>
    <row r="133" customFormat="false" ht="15.75" hidden="false" customHeight="false" outlineLevel="0" collapsed="false">
      <c r="A133" s="35" t="str">
        <f aca="false">IF(ISBLANK(B133),"",_xlfn.ISOWEEKNUM('Journal de travail'!$B133))</f>
        <v/>
      </c>
      <c r="B133" s="48"/>
      <c r="C133" s="42"/>
      <c r="D133" s="43"/>
      <c r="E133" s="44"/>
      <c r="F133" s="49"/>
      <c r="G133" s="49"/>
    </row>
    <row r="134" customFormat="false" ht="15.75" hidden="false" customHeight="false" outlineLevel="0" collapsed="false">
      <c r="A134" s="35" t="str">
        <f aca="false">IF(ISBLANK(B134),"",_xlfn.ISOWEEKNUM('Journal de travail'!$B134))</f>
        <v/>
      </c>
      <c r="B134" s="46"/>
      <c r="C134" s="37"/>
      <c r="D134" s="38"/>
      <c r="E134" s="39"/>
      <c r="F134" s="47"/>
      <c r="G134" s="47"/>
    </row>
    <row r="135" customFormat="false" ht="15.75" hidden="false" customHeight="false" outlineLevel="0" collapsed="false">
      <c r="A135" s="35" t="str">
        <f aca="false">IF(ISBLANK(B135),"",_xlfn.ISOWEEKNUM('Journal de travail'!$B135))</f>
        <v/>
      </c>
      <c r="B135" s="48"/>
      <c r="C135" s="42"/>
      <c r="D135" s="43"/>
      <c r="E135" s="44"/>
      <c r="F135" s="49"/>
      <c r="G135" s="49"/>
    </row>
    <row r="136" customFormat="false" ht="15.75" hidden="false" customHeight="false" outlineLevel="0" collapsed="false">
      <c r="A136" s="35" t="str">
        <f aca="false">IF(ISBLANK(B136),"",_xlfn.ISOWEEKNUM('Journal de travail'!$B136))</f>
        <v/>
      </c>
      <c r="B136" s="46"/>
      <c r="C136" s="37"/>
      <c r="D136" s="38"/>
      <c r="E136" s="39"/>
      <c r="F136" s="47"/>
      <c r="G136" s="47"/>
    </row>
    <row r="137" customFormat="false" ht="15.75" hidden="false" customHeight="false" outlineLevel="0" collapsed="false">
      <c r="A137" s="35" t="str">
        <f aca="false">IF(ISBLANK(B137),"",_xlfn.ISOWEEKNUM('Journal de travail'!$B137))</f>
        <v/>
      </c>
      <c r="B137" s="48"/>
      <c r="C137" s="42"/>
      <c r="D137" s="43"/>
      <c r="E137" s="44"/>
      <c r="F137" s="49"/>
      <c r="G137" s="49"/>
    </row>
    <row r="138" customFormat="false" ht="15.75" hidden="false" customHeight="false" outlineLevel="0" collapsed="false">
      <c r="A138" s="35" t="str">
        <f aca="false">IF(ISBLANK(B138),"",_xlfn.ISOWEEKNUM('Journal de travail'!$B138))</f>
        <v/>
      </c>
      <c r="B138" s="46"/>
      <c r="C138" s="37"/>
      <c r="D138" s="38"/>
      <c r="E138" s="39"/>
      <c r="F138" s="47"/>
      <c r="G138" s="47"/>
    </row>
    <row r="139" customFormat="false" ht="15.75" hidden="false" customHeight="false" outlineLevel="0" collapsed="false">
      <c r="A139" s="35" t="str">
        <f aca="false">IF(ISBLANK(B139),"",_xlfn.ISOWEEKNUM('Journal de travail'!$B139))</f>
        <v/>
      </c>
      <c r="B139" s="48"/>
      <c r="C139" s="42"/>
      <c r="D139" s="43"/>
      <c r="E139" s="44"/>
      <c r="F139" s="49"/>
      <c r="G139" s="49"/>
    </row>
    <row r="140" customFormat="false" ht="15.75" hidden="false" customHeight="false" outlineLevel="0" collapsed="false">
      <c r="A140" s="35" t="str">
        <f aca="false">IF(ISBLANK(B140),"",_xlfn.ISOWEEKNUM('Journal de travail'!$B140))</f>
        <v/>
      </c>
      <c r="B140" s="46"/>
      <c r="C140" s="37"/>
      <c r="D140" s="38"/>
      <c r="E140" s="39"/>
      <c r="F140" s="47"/>
      <c r="G140" s="47"/>
    </row>
    <row r="141" customFormat="false" ht="15.75" hidden="false" customHeight="false" outlineLevel="0" collapsed="false">
      <c r="A141" s="35" t="str">
        <f aca="false">IF(ISBLANK(B141),"",_xlfn.ISOWEEKNUM('Journal de travail'!$B141))</f>
        <v/>
      </c>
      <c r="B141" s="48"/>
      <c r="C141" s="42"/>
      <c r="D141" s="43"/>
      <c r="E141" s="44"/>
      <c r="F141" s="49"/>
      <c r="G141" s="49"/>
    </row>
    <row r="142" customFormat="false" ht="15.75" hidden="false" customHeight="false" outlineLevel="0" collapsed="false">
      <c r="A142" s="35" t="str">
        <f aca="false">IF(ISBLANK(B142),"",_xlfn.ISOWEEKNUM('Journal de travail'!$B142))</f>
        <v/>
      </c>
      <c r="B142" s="46"/>
      <c r="C142" s="37"/>
      <c r="D142" s="38"/>
      <c r="E142" s="39"/>
      <c r="F142" s="47"/>
      <c r="G142" s="47"/>
    </row>
    <row r="143" customFormat="false" ht="15.75" hidden="false" customHeight="false" outlineLevel="0" collapsed="false">
      <c r="A143" s="35" t="str">
        <f aca="false">IF(ISBLANK(B143),"",_xlfn.ISOWEEKNUM('Journal de travail'!$B143))</f>
        <v/>
      </c>
      <c r="B143" s="48"/>
      <c r="C143" s="42"/>
      <c r="D143" s="43"/>
      <c r="E143" s="44"/>
      <c r="F143" s="49"/>
      <c r="G143" s="49"/>
    </row>
    <row r="144" customFormat="false" ht="15.75" hidden="false" customHeight="false" outlineLevel="0" collapsed="false">
      <c r="A144" s="35" t="str">
        <f aca="false">IF(ISBLANK(B144),"",_xlfn.ISOWEEKNUM('Journal de travail'!$B144))</f>
        <v/>
      </c>
      <c r="B144" s="46"/>
      <c r="C144" s="37"/>
      <c r="D144" s="38"/>
      <c r="E144" s="39"/>
      <c r="F144" s="47"/>
      <c r="G144" s="47"/>
    </row>
    <row r="145" customFormat="false" ht="15.75" hidden="false" customHeight="false" outlineLevel="0" collapsed="false">
      <c r="A145" s="35" t="str">
        <f aca="false">IF(ISBLANK(B145),"",_xlfn.ISOWEEKNUM('Journal de travail'!$B145))</f>
        <v/>
      </c>
      <c r="B145" s="48"/>
      <c r="C145" s="42"/>
      <c r="D145" s="43"/>
      <c r="E145" s="44"/>
      <c r="F145" s="49"/>
      <c r="G145" s="49"/>
    </row>
    <row r="146" customFormat="false" ht="15.75" hidden="false" customHeight="false" outlineLevel="0" collapsed="false">
      <c r="A146" s="35" t="str">
        <f aca="false">IF(ISBLANK(B146),"",_xlfn.ISOWEEKNUM('Journal de travail'!$B146))</f>
        <v/>
      </c>
      <c r="B146" s="46"/>
      <c r="C146" s="37"/>
      <c r="D146" s="38"/>
      <c r="E146" s="39"/>
      <c r="F146" s="47"/>
      <c r="G146" s="47"/>
    </row>
    <row r="147" customFormat="false" ht="15.75" hidden="false" customHeight="false" outlineLevel="0" collapsed="false">
      <c r="A147" s="35" t="str">
        <f aca="false">IF(ISBLANK(B147),"",_xlfn.ISOWEEKNUM('Journal de travail'!$B147))</f>
        <v/>
      </c>
      <c r="B147" s="48"/>
      <c r="C147" s="42"/>
      <c r="D147" s="43"/>
      <c r="E147" s="44"/>
      <c r="F147" s="49"/>
      <c r="G147" s="49"/>
    </row>
    <row r="148" customFormat="false" ht="15.75" hidden="false" customHeight="false" outlineLevel="0" collapsed="false">
      <c r="A148" s="35" t="str">
        <f aca="false">IF(ISBLANK(B148),"",_xlfn.ISOWEEKNUM('Journal de travail'!$B148))</f>
        <v/>
      </c>
      <c r="B148" s="46"/>
      <c r="C148" s="37"/>
      <c r="D148" s="38"/>
      <c r="E148" s="39"/>
      <c r="F148" s="47"/>
      <c r="G148" s="47"/>
    </row>
    <row r="149" customFormat="false" ht="15.75" hidden="false" customHeight="false" outlineLevel="0" collapsed="false">
      <c r="A149" s="35" t="str">
        <f aca="false">IF(ISBLANK(B149),"",_xlfn.ISOWEEKNUM('Journal de travail'!$B149))</f>
        <v/>
      </c>
      <c r="B149" s="48"/>
      <c r="C149" s="42"/>
      <c r="D149" s="43"/>
      <c r="E149" s="44"/>
      <c r="F149" s="49"/>
      <c r="G149" s="49"/>
    </row>
    <row r="150" customFormat="false" ht="15.75" hidden="false" customHeight="false" outlineLevel="0" collapsed="false">
      <c r="A150" s="35" t="str">
        <f aca="false">IF(ISBLANK(B150),"",_xlfn.ISOWEEKNUM('Journal de travail'!$B150))</f>
        <v/>
      </c>
      <c r="B150" s="46"/>
      <c r="C150" s="37"/>
      <c r="D150" s="38"/>
      <c r="E150" s="39"/>
      <c r="F150" s="47"/>
      <c r="G150" s="47"/>
    </row>
    <row r="151" customFormat="false" ht="15.75" hidden="false" customHeight="false" outlineLevel="0" collapsed="false">
      <c r="A151" s="35" t="str">
        <f aca="false">IF(ISBLANK(B151),"",_xlfn.ISOWEEKNUM('Journal de travail'!$B151))</f>
        <v/>
      </c>
      <c r="B151" s="48"/>
      <c r="C151" s="42"/>
      <c r="D151" s="43"/>
      <c r="E151" s="44"/>
      <c r="F151" s="49"/>
      <c r="G151" s="49"/>
    </row>
    <row r="152" customFormat="false" ht="15.75" hidden="false" customHeight="false" outlineLevel="0" collapsed="false">
      <c r="A152" s="35" t="str">
        <f aca="false">IF(ISBLANK(B152),"",_xlfn.ISOWEEKNUM('Journal de travail'!$B152))</f>
        <v/>
      </c>
      <c r="B152" s="46"/>
      <c r="C152" s="37"/>
      <c r="D152" s="38"/>
      <c r="E152" s="39"/>
      <c r="F152" s="47"/>
      <c r="G152" s="47"/>
    </row>
    <row r="153" customFormat="false" ht="15.75" hidden="false" customHeight="false" outlineLevel="0" collapsed="false">
      <c r="A153" s="35" t="str">
        <f aca="false">IF(ISBLANK(B153),"",_xlfn.ISOWEEKNUM('Journal de travail'!$B153))</f>
        <v/>
      </c>
      <c r="B153" s="48"/>
      <c r="C153" s="42"/>
      <c r="D153" s="43"/>
      <c r="E153" s="44"/>
      <c r="F153" s="49"/>
      <c r="G153" s="49"/>
    </row>
    <row r="154" customFormat="false" ht="15.75" hidden="false" customHeight="false" outlineLevel="0" collapsed="false">
      <c r="A154" s="35" t="str">
        <f aca="false">IF(ISBLANK(B154),"",_xlfn.ISOWEEKNUM('Journal de travail'!$B154))</f>
        <v/>
      </c>
      <c r="B154" s="46"/>
      <c r="C154" s="37"/>
      <c r="D154" s="38"/>
      <c r="E154" s="39"/>
      <c r="F154" s="47"/>
      <c r="G154" s="47"/>
    </row>
    <row r="155" customFormat="false" ht="15.75" hidden="false" customHeight="false" outlineLevel="0" collapsed="false">
      <c r="A155" s="35" t="str">
        <f aca="false">IF(ISBLANK(B155),"",_xlfn.ISOWEEKNUM('Journal de travail'!$B155))</f>
        <v/>
      </c>
      <c r="B155" s="48"/>
      <c r="C155" s="42"/>
      <c r="D155" s="43"/>
      <c r="E155" s="44"/>
      <c r="F155" s="49"/>
      <c r="G155" s="49"/>
    </row>
    <row r="156" customFormat="false" ht="15.75" hidden="false" customHeight="false" outlineLevel="0" collapsed="false">
      <c r="A156" s="35" t="str">
        <f aca="false">IF(ISBLANK(B156),"",_xlfn.ISOWEEKNUM('Journal de travail'!$B156))</f>
        <v/>
      </c>
      <c r="B156" s="46"/>
      <c r="C156" s="37"/>
      <c r="D156" s="38"/>
      <c r="E156" s="39"/>
      <c r="F156" s="47"/>
      <c r="G156" s="47"/>
    </row>
    <row r="157" customFormat="false" ht="15.75" hidden="false" customHeight="false" outlineLevel="0" collapsed="false">
      <c r="A157" s="35" t="str">
        <f aca="false">IF(ISBLANK(B157),"",_xlfn.ISOWEEKNUM('Journal de travail'!$B157))</f>
        <v/>
      </c>
      <c r="B157" s="48"/>
      <c r="C157" s="42"/>
      <c r="D157" s="43"/>
      <c r="E157" s="44"/>
      <c r="F157" s="49"/>
      <c r="G157" s="49"/>
    </row>
    <row r="158" customFormat="false" ht="15.75" hidden="false" customHeight="false" outlineLevel="0" collapsed="false">
      <c r="A158" s="35" t="str">
        <f aca="false">IF(ISBLANK(B158),"",_xlfn.ISOWEEKNUM('Journal de travail'!$B158))</f>
        <v/>
      </c>
      <c r="B158" s="46"/>
      <c r="C158" s="37"/>
      <c r="D158" s="38"/>
      <c r="E158" s="39"/>
      <c r="F158" s="47"/>
      <c r="G158" s="47"/>
    </row>
    <row r="159" customFormat="false" ht="15.75" hidden="false" customHeight="false" outlineLevel="0" collapsed="false">
      <c r="A159" s="35" t="str">
        <f aca="false">IF(ISBLANK(B159),"",_xlfn.ISOWEEKNUM('Journal de travail'!$B159))</f>
        <v/>
      </c>
      <c r="B159" s="48"/>
      <c r="C159" s="42"/>
      <c r="D159" s="43"/>
      <c r="E159" s="44"/>
      <c r="F159" s="49"/>
      <c r="G159" s="49"/>
    </row>
    <row r="160" customFormat="false" ht="15.75" hidden="false" customHeight="false" outlineLevel="0" collapsed="false">
      <c r="A160" s="35" t="str">
        <f aca="false">IF(ISBLANK(B160),"",_xlfn.ISOWEEKNUM('Journal de travail'!$B160))</f>
        <v/>
      </c>
      <c r="B160" s="46"/>
      <c r="C160" s="37"/>
      <c r="D160" s="38"/>
      <c r="E160" s="39"/>
      <c r="F160" s="47"/>
      <c r="G160" s="47"/>
    </row>
    <row r="161" customFormat="false" ht="15.75" hidden="false" customHeight="false" outlineLevel="0" collapsed="false">
      <c r="A161" s="35" t="str">
        <f aca="false">IF(ISBLANK(B161),"",_xlfn.ISOWEEKNUM('Journal de travail'!$B161))</f>
        <v/>
      </c>
      <c r="B161" s="48"/>
      <c r="C161" s="42"/>
      <c r="D161" s="43"/>
      <c r="E161" s="44"/>
      <c r="F161" s="49"/>
      <c r="G161" s="49"/>
    </row>
    <row r="162" customFormat="false" ht="15.75" hidden="false" customHeight="false" outlineLevel="0" collapsed="false">
      <c r="A162" s="35" t="str">
        <f aca="false">IF(ISBLANK(B162),"",_xlfn.ISOWEEKNUM('Journal de travail'!$B162))</f>
        <v/>
      </c>
      <c r="B162" s="46"/>
      <c r="C162" s="37"/>
      <c r="D162" s="38"/>
      <c r="E162" s="39"/>
      <c r="F162" s="47"/>
      <c r="G162" s="47"/>
    </row>
    <row r="163" customFormat="false" ht="15.75" hidden="false" customHeight="false" outlineLevel="0" collapsed="false">
      <c r="A163" s="35" t="str">
        <f aca="false">IF(ISBLANK(B163),"",_xlfn.ISOWEEKNUM('Journal de travail'!$B163))</f>
        <v/>
      </c>
      <c r="B163" s="48"/>
      <c r="C163" s="42"/>
      <c r="D163" s="43"/>
      <c r="E163" s="44"/>
      <c r="F163" s="49"/>
      <c r="G163" s="49"/>
    </row>
    <row r="164" customFormat="false" ht="15.75" hidden="false" customHeight="false" outlineLevel="0" collapsed="false">
      <c r="A164" s="35" t="str">
        <f aca="false">IF(ISBLANK(B164),"",_xlfn.ISOWEEKNUM('Journal de travail'!$B164))</f>
        <v/>
      </c>
      <c r="B164" s="46"/>
      <c r="C164" s="37"/>
      <c r="D164" s="38"/>
      <c r="E164" s="39"/>
      <c r="F164" s="47"/>
      <c r="G164" s="47"/>
    </row>
    <row r="165" customFormat="false" ht="15.75" hidden="false" customHeight="false" outlineLevel="0" collapsed="false">
      <c r="A165" s="35" t="str">
        <f aca="false">IF(ISBLANK(B165),"",_xlfn.ISOWEEKNUM('Journal de travail'!$B165))</f>
        <v/>
      </c>
      <c r="B165" s="48"/>
      <c r="C165" s="42"/>
      <c r="D165" s="43"/>
      <c r="E165" s="44"/>
      <c r="F165" s="49"/>
      <c r="G165" s="49"/>
    </row>
    <row r="166" customFormat="false" ht="15.75" hidden="false" customHeight="false" outlineLevel="0" collapsed="false">
      <c r="A166" s="35" t="str">
        <f aca="false">IF(ISBLANK(B166),"",_xlfn.ISOWEEKNUM('Journal de travail'!$B166))</f>
        <v/>
      </c>
      <c r="B166" s="46"/>
      <c r="C166" s="37"/>
      <c r="D166" s="38"/>
      <c r="E166" s="39"/>
      <c r="F166" s="47"/>
      <c r="G166" s="47"/>
    </row>
    <row r="167" customFormat="false" ht="15.75" hidden="false" customHeight="false" outlineLevel="0" collapsed="false">
      <c r="A167" s="35" t="str">
        <f aca="false">IF(ISBLANK(B167),"",_xlfn.ISOWEEKNUM('Journal de travail'!$B167))</f>
        <v/>
      </c>
      <c r="B167" s="48"/>
      <c r="C167" s="42"/>
      <c r="D167" s="43"/>
      <c r="E167" s="44"/>
      <c r="F167" s="49"/>
      <c r="G167" s="49"/>
    </row>
    <row r="168" customFormat="false" ht="15.75" hidden="false" customHeight="false" outlineLevel="0" collapsed="false">
      <c r="A168" s="35" t="str">
        <f aca="false">IF(ISBLANK(B168),"",_xlfn.ISOWEEKNUM('Journal de travail'!$B168))</f>
        <v/>
      </c>
      <c r="B168" s="46"/>
      <c r="C168" s="37"/>
      <c r="D168" s="38"/>
      <c r="E168" s="39"/>
      <c r="F168" s="47"/>
      <c r="G168" s="47"/>
    </row>
    <row r="169" customFormat="false" ht="15.75" hidden="false" customHeight="false" outlineLevel="0" collapsed="false">
      <c r="A169" s="35" t="str">
        <f aca="false">IF(ISBLANK(B169),"",_xlfn.ISOWEEKNUM('Journal de travail'!$B169))</f>
        <v/>
      </c>
      <c r="B169" s="48"/>
      <c r="C169" s="42"/>
      <c r="D169" s="43"/>
      <c r="E169" s="44"/>
      <c r="F169" s="49"/>
      <c r="G169" s="49"/>
    </row>
    <row r="170" customFormat="false" ht="15.75" hidden="false" customHeight="false" outlineLevel="0" collapsed="false">
      <c r="A170" s="35" t="str">
        <f aca="false">IF(ISBLANK(B170),"",_xlfn.ISOWEEKNUM('Journal de travail'!$B170))</f>
        <v/>
      </c>
      <c r="B170" s="46"/>
      <c r="C170" s="37"/>
      <c r="D170" s="38"/>
      <c r="E170" s="39"/>
      <c r="F170" s="47"/>
      <c r="G170" s="47"/>
    </row>
    <row r="171" customFormat="false" ht="15.75" hidden="false" customHeight="false" outlineLevel="0" collapsed="false">
      <c r="A171" s="35" t="str">
        <f aca="false">IF(ISBLANK(B171),"",_xlfn.ISOWEEKNUM('Journal de travail'!$B171))</f>
        <v/>
      </c>
      <c r="B171" s="48"/>
      <c r="C171" s="42"/>
      <c r="D171" s="43"/>
      <c r="E171" s="44"/>
      <c r="F171" s="49"/>
      <c r="G171" s="49"/>
    </row>
    <row r="172" customFormat="false" ht="15.75" hidden="false" customHeight="false" outlineLevel="0" collapsed="false">
      <c r="A172" s="35" t="str">
        <f aca="false">IF(ISBLANK(B172),"",_xlfn.ISOWEEKNUM('Journal de travail'!$B172))</f>
        <v/>
      </c>
      <c r="B172" s="46"/>
      <c r="C172" s="37"/>
      <c r="D172" s="38"/>
      <c r="E172" s="39"/>
      <c r="F172" s="47"/>
      <c r="G172" s="47"/>
    </row>
    <row r="173" customFormat="false" ht="15.75" hidden="false" customHeight="false" outlineLevel="0" collapsed="false">
      <c r="A173" s="35" t="str">
        <f aca="false">IF(ISBLANK(B173),"",_xlfn.ISOWEEKNUM('Journal de travail'!$B173))</f>
        <v/>
      </c>
      <c r="B173" s="48"/>
      <c r="C173" s="42"/>
      <c r="D173" s="43"/>
      <c r="E173" s="44"/>
      <c r="F173" s="49"/>
      <c r="G173" s="49"/>
    </row>
    <row r="174" customFormat="false" ht="15.75" hidden="false" customHeight="false" outlineLevel="0" collapsed="false">
      <c r="A174" s="35" t="str">
        <f aca="false">IF(ISBLANK(B174),"",_xlfn.ISOWEEKNUM('Journal de travail'!$B174))</f>
        <v/>
      </c>
      <c r="B174" s="46"/>
      <c r="C174" s="37"/>
      <c r="D174" s="38"/>
      <c r="E174" s="39"/>
      <c r="F174" s="47"/>
      <c r="G174" s="47"/>
    </row>
    <row r="175" customFormat="false" ht="15.75" hidden="false" customHeight="false" outlineLevel="0" collapsed="false">
      <c r="A175" s="35" t="str">
        <f aca="false">IF(ISBLANK(B175),"",_xlfn.ISOWEEKNUM('Journal de travail'!$B175))</f>
        <v/>
      </c>
      <c r="B175" s="48"/>
      <c r="C175" s="42"/>
      <c r="D175" s="43"/>
      <c r="E175" s="44"/>
      <c r="F175" s="49"/>
      <c r="G175" s="49"/>
    </row>
    <row r="176" customFormat="false" ht="15.75" hidden="false" customHeight="false" outlineLevel="0" collapsed="false">
      <c r="A176" s="35" t="str">
        <f aca="false">IF(ISBLANK(B176),"",_xlfn.ISOWEEKNUM('Journal de travail'!$B176))</f>
        <v/>
      </c>
      <c r="B176" s="46"/>
      <c r="C176" s="37"/>
      <c r="D176" s="38"/>
      <c r="E176" s="39"/>
      <c r="F176" s="47"/>
      <c r="G176" s="47"/>
    </row>
    <row r="177" customFormat="false" ht="15.75" hidden="false" customHeight="false" outlineLevel="0" collapsed="false">
      <c r="A177" s="35" t="str">
        <f aca="false">IF(ISBLANK(B177),"",_xlfn.ISOWEEKNUM('Journal de travail'!$B177))</f>
        <v/>
      </c>
      <c r="B177" s="48"/>
      <c r="C177" s="42"/>
      <c r="D177" s="43"/>
      <c r="E177" s="44"/>
      <c r="F177" s="49"/>
      <c r="G177" s="49"/>
    </row>
    <row r="178" customFormat="false" ht="15.75" hidden="false" customHeight="false" outlineLevel="0" collapsed="false">
      <c r="A178" s="35" t="str">
        <f aca="false">IF(ISBLANK(B178),"",_xlfn.ISOWEEKNUM('Journal de travail'!$B178))</f>
        <v/>
      </c>
      <c r="B178" s="46"/>
      <c r="C178" s="37"/>
      <c r="D178" s="38"/>
      <c r="E178" s="39"/>
      <c r="F178" s="47"/>
      <c r="G178" s="47"/>
    </row>
    <row r="179" customFormat="false" ht="15.75" hidden="false" customHeight="false" outlineLevel="0" collapsed="false">
      <c r="A179" s="35" t="str">
        <f aca="false">IF(ISBLANK(B179),"",_xlfn.ISOWEEKNUM('Journal de travail'!$B179))</f>
        <v/>
      </c>
      <c r="B179" s="48"/>
      <c r="C179" s="42"/>
      <c r="D179" s="43"/>
      <c r="E179" s="44"/>
      <c r="F179" s="49"/>
      <c r="G179" s="49"/>
    </row>
    <row r="180" customFormat="false" ht="15.75" hidden="false" customHeight="false" outlineLevel="0" collapsed="false">
      <c r="A180" s="35" t="str">
        <f aca="false">IF(ISBLANK(B180),"",_xlfn.ISOWEEKNUM('Journal de travail'!$B180))</f>
        <v/>
      </c>
      <c r="B180" s="46"/>
      <c r="C180" s="37"/>
      <c r="D180" s="38"/>
      <c r="E180" s="39"/>
      <c r="F180" s="47"/>
      <c r="G180" s="47"/>
    </row>
    <row r="181" customFormat="false" ht="15.75" hidden="false" customHeight="false" outlineLevel="0" collapsed="false">
      <c r="A181" s="35" t="str">
        <f aca="false">IF(ISBLANK(B181),"",_xlfn.ISOWEEKNUM('Journal de travail'!$B181))</f>
        <v/>
      </c>
      <c r="B181" s="48"/>
      <c r="C181" s="42"/>
      <c r="D181" s="43"/>
      <c r="E181" s="44"/>
      <c r="F181" s="49"/>
      <c r="G181" s="49"/>
    </row>
    <row r="182" customFormat="false" ht="15.75" hidden="false" customHeight="false" outlineLevel="0" collapsed="false">
      <c r="A182" s="35" t="str">
        <f aca="false">IF(ISBLANK(B182),"",_xlfn.ISOWEEKNUM('Journal de travail'!$B182))</f>
        <v/>
      </c>
      <c r="B182" s="46"/>
      <c r="C182" s="37"/>
      <c r="D182" s="38"/>
      <c r="E182" s="39"/>
      <c r="F182" s="47"/>
      <c r="G182" s="47"/>
    </row>
    <row r="183" customFormat="false" ht="15.75" hidden="false" customHeight="false" outlineLevel="0" collapsed="false">
      <c r="A183" s="35" t="str">
        <f aca="false">IF(ISBLANK(B183),"",_xlfn.ISOWEEKNUM('Journal de travail'!$B183))</f>
        <v/>
      </c>
      <c r="B183" s="48"/>
      <c r="C183" s="42"/>
      <c r="D183" s="43"/>
      <c r="E183" s="44"/>
      <c r="F183" s="49"/>
      <c r="G183" s="49"/>
    </row>
    <row r="184" customFormat="false" ht="15.75" hidden="false" customHeight="false" outlineLevel="0" collapsed="false">
      <c r="A184" s="35" t="str">
        <f aca="false">IF(ISBLANK(B184),"",_xlfn.ISOWEEKNUM('Journal de travail'!$B184))</f>
        <v/>
      </c>
      <c r="B184" s="46"/>
      <c r="C184" s="37"/>
      <c r="D184" s="38"/>
      <c r="E184" s="39"/>
      <c r="F184" s="47"/>
      <c r="G184" s="47"/>
    </row>
    <row r="185" customFormat="false" ht="15.75" hidden="false" customHeight="false" outlineLevel="0" collapsed="false">
      <c r="A185" s="35" t="str">
        <f aca="false">IF(ISBLANK(B185),"",_xlfn.ISOWEEKNUM('Journal de travail'!$B185))</f>
        <v/>
      </c>
      <c r="B185" s="48"/>
      <c r="C185" s="42"/>
      <c r="D185" s="43"/>
      <c r="E185" s="44"/>
      <c r="F185" s="49"/>
      <c r="G185" s="49"/>
    </row>
    <row r="186" customFormat="false" ht="15.75" hidden="false" customHeight="false" outlineLevel="0" collapsed="false">
      <c r="A186" s="35" t="str">
        <f aca="false">IF(ISBLANK(B186),"",_xlfn.ISOWEEKNUM('Journal de travail'!$B186))</f>
        <v/>
      </c>
      <c r="B186" s="46"/>
      <c r="C186" s="37"/>
      <c r="D186" s="38"/>
      <c r="E186" s="39"/>
      <c r="F186" s="47"/>
      <c r="G186" s="47"/>
    </row>
    <row r="187" customFormat="false" ht="15.75" hidden="false" customHeight="false" outlineLevel="0" collapsed="false">
      <c r="A187" s="35" t="str">
        <f aca="false">IF(ISBLANK(B187),"",_xlfn.ISOWEEKNUM('Journal de travail'!$B187))</f>
        <v/>
      </c>
      <c r="B187" s="48"/>
      <c r="C187" s="42"/>
      <c r="D187" s="43"/>
      <c r="E187" s="44"/>
      <c r="F187" s="49"/>
      <c r="G187" s="49"/>
    </row>
    <row r="188" customFormat="false" ht="15.75" hidden="false" customHeight="false" outlineLevel="0" collapsed="false">
      <c r="A188" s="35" t="str">
        <f aca="false">IF(ISBLANK(B188),"",_xlfn.ISOWEEKNUM('Journal de travail'!$B188))</f>
        <v/>
      </c>
      <c r="B188" s="46"/>
      <c r="C188" s="37"/>
      <c r="D188" s="38"/>
      <c r="E188" s="39"/>
      <c r="F188" s="47"/>
      <c r="G188" s="47"/>
    </row>
    <row r="189" customFormat="false" ht="15.75" hidden="false" customHeight="false" outlineLevel="0" collapsed="false">
      <c r="A189" s="35" t="str">
        <f aca="false">IF(ISBLANK(B189),"",_xlfn.ISOWEEKNUM('Journal de travail'!$B189))</f>
        <v/>
      </c>
      <c r="B189" s="48"/>
      <c r="C189" s="42"/>
      <c r="D189" s="43"/>
      <c r="E189" s="44"/>
      <c r="F189" s="49"/>
      <c r="G189" s="49"/>
    </row>
    <row r="190" customFormat="false" ht="15.75" hidden="false" customHeight="false" outlineLevel="0" collapsed="false">
      <c r="A190" s="35" t="str">
        <f aca="false">IF(ISBLANK(B190),"",_xlfn.ISOWEEKNUM('Journal de travail'!$B190))</f>
        <v/>
      </c>
      <c r="B190" s="46"/>
      <c r="C190" s="37"/>
      <c r="D190" s="38"/>
      <c r="E190" s="39"/>
      <c r="F190" s="47"/>
      <c r="G190" s="47"/>
    </row>
    <row r="191" customFormat="false" ht="15.75" hidden="false" customHeight="false" outlineLevel="0" collapsed="false">
      <c r="A191" s="35" t="str">
        <f aca="false">IF(ISBLANK(B191),"",_xlfn.ISOWEEKNUM('Journal de travail'!$B191))</f>
        <v/>
      </c>
      <c r="B191" s="48"/>
      <c r="C191" s="42"/>
      <c r="D191" s="43"/>
      <c r="E191" s="44"/>
      <c r="F191" s="49"/>
      <c r="G191" s="49"/>
    </row>
    <row r="192" customFormat="false" ht="15.75" hidden="false" customHeight="false" outlineLevel="0" collapsed="false">
      <c r="A192" s="35" t="str">
        <f aca="false">IF(ISBLANK(B192),"",_xlfn.ISOWEEKNUM('Journal de travail'!$B192))</f>
        <v/>
      </c>
      <c r="B192" s="46"/>
      <c r="C192" s="37"/>
      <c r="D192" s="38"/>
      <c r="E192" s="39"/>
      <c r="F192" s="47"/>
      <c r="G192" s="47"/>
    </row>
    <row r="193" customFormat="false" ht="15.75" hidden="false" customHeight="false" outlineLevel="0" collapsed="false">
      <c r="A193" s="35" t="str">
        <f aca="false">IF(ISBLANK(B193),"",_xlfn.ISOWEEKNUM('Journal de travail'!$B193))</f>
        <v/>
      </c>
      <c r="B193" s="48"/>
      <c r="C193" s="42"/>
      <c r="D193" s="43"/>
      <c r="E193" s="44"/>
      <c r="F193" s="49"/>
      <c r="G193" s="49"/>
    </row>
    <row r="194" customFormat="false" ht="15.75" hidden="false" customHeight="false" outlineLevel="0" collapsed="false">
      <c r="A194" s="35" t="str">
        <f aca="false">IF(ISBLANK(B194),"",_xlfn.ISOWEEKNUM('Journal de travail'!$B194))</f>
        <v/>
      </c>
      <c r="B194" s="46"/>
      <c r="C194" s="37"/>
      <c r="D194" s="38"/>
      <c r="E194" s="39"/>
      <c r="F194" s="47"/>
      <c r="G194" s="47"/>
    </row>
    <row r="195" customFormat="false" ht="15.75" hidden="false" customHeight="false" outlineLevel="0" collapsed="false">
      <c r="A195" s="35" t="str">
        <f aca="false">IF(ISBLANK(B195),"",_xlfn.ISOWEEKNUM('Journal de travail'!$B195))</f>
        <v/>
      </c>
      <c r="B195" s="48"/>
      <c r="C195" s="42"/>
      <c r="D195" s="43"/>
      <c r="E195" s="44"/>
      <c r="F195" s="49"/>
      <c r="G195" s="49"/>
    </row>
    <row r="196" customFormat="false" ht="15.75" hidden="false" customHeight="false" outlineLevel="0" collapsed="false">
      <c r="A196" s="35" t="str">
        <f aca="false">IF(ISBLANK(B196),"",_xlfn.ISOWEEKNUM('Journal de travail'!$B196))</f>
        <v/>
      </c>
      <c r="B196" s="46"/>
      <c r="C196" s="37"/>
      <c r="D196" s="38"/>
      <c r="E196" s="39"/>
      <c r="F196" s="47"/>
      <c r="G196" s="47"/>
    </row>
    <row r="197" customFormat="false" ht="15.75" hidden="false" customHeight="false" outlineLevel="0" collapsed="false">
      <c r="A197" s="35" t="str">
        <f aca="false">IF(ISBLANK(B197),"",_xlfn.ISOWEEKNUM('Journal de travail'!$B197))</f>
        <v/>
      </c>
      <c r="B197" s="48"/>
      <c r="C197" s="42"/>
      <c r="D197" s="43"/>
      <c r="E197" s="44"/>
      <c r="F197" s="49"/>
      <c r="G197" s="49"/>
    </row>
    <row r="198" customFormat="false" ht="15.75" hidden="false" customHeight="false" outlineLevel="0" collapsed="false">
      <c r="A198" s="35" t="str">
        <f aca="false">IF(ISBLANK(B198),"",_xlfn.ISOWEEKNUM('Journal de travail'!$B198))</f>
        <v/>
      </c>
      <c r="B198" s="46"/>
      <c r="C198" s="37"/>
      <c r="D198" s="38"/>
      <c r="E198" s="39"/>
      <c r="F198" s="47"/>
      <c r="G198" s="47"/>
    </row>
    <row r="199" customFormat="false" ht="15.75" hidden="false" customHeight="false" outlineLevel="0" collapsed="false">
      <c r="A199" s="35" t="str">
        <f aca="false">IF(ISBLANK(B199),"",_xlfn.ISOWEEKNUM('Journal de travail'!$B199))</f>
        <v/>
      </c>
      <c r="B199" s="48"/>
      <c r="C199" s="42"/>
      <c r="D199" s="43"/>
      <c r="E199" s="44"/>
      <c r="F199" s="49"/>
      <c r="G199" s="49"/>
    </row>
    <row r="200" customFormat="false" ht="15.75" hidden="false" customHeight="false" outlineLevel="0" collapsed="false">
      <c r="A200" s="35" t="str">
        <f aca="false">IF(ISBLANK(B200),"",_xlfn.ISOWEEKNUM('Journal de travail'!$B200))</f>
        <v/>
      </c>
      <c r="B200" s="46"/>
      <c r="C200" s="37"/>
      <c r="D200" s="38"/>
      <c r="E200" s="39"/>
      <c r="F200" s="47"/>
      <c r="G200" s="47"/>
    </row>
    <row r="201" customFormat="false" ht="15.75" hidden="false" customHeight="false" outlineLevel="0" collapsed="false">
      <c r="A201" s="35" t="str">
        <f aca="false">IF(ISBLANK(B201),"",_xlfn.ISOWEEKNUM('Journal de travail'!$B201))</f>
        <v/>
      </c>
      <c r="B201" s="48"/>
      <c r="C201" s="42"/>
      <c r="D201" s="43"/>
      <c r="E201" s="44"/>
      <c r="F201" s="49"/>
      <c r="G201" s="49"/>
    </row>
    <row r="202" customFormat="false" ht="15.75" hidden="false" customHeight="false" outlineLevel="0" collapsed="false">
      <c r="A202" s="35" t="str">
        <f aca="false">IF(ISBLANK(B202),"",_xlfn.ISOWEEKNUM('Journal de travail'!$B202))</f>
        <v/>
      </c>
      <c r="B202" s="46"/>
      <c r="C202" s="37"/>
      <c r="D202" s="38"/>
      <c r="E202" s="39"/>
      <c r="F202" s="47"/>
      <c r="G202" s="47"/>
    </row>
    <row r="203" customFormat="false" ht="15.75" hidden="false" customHeight="false" outlineLevel="0" collapsed="false">
      <c r="A203" s="35" t="str">
        <f aca="false">IF(ISBLANK(B203),"",_xlfn.ISOWEEKNUM('Journal de travail'!$B203))</f>
        <v/>
      </c>
      <c r="B203" s="48"/>
      <c r="C203" s="42"/>
      <c r="D203" s="43"/>
      <c r="E203" s="44"/>
      <c r="F203" s="49"/>
      <c r="G203" s="49"/>
    </row>
    <row r="204" customFormat="false" ht="15.75" hidden="false" customHeight="false" outlineLevel="0" collapsed="false">
      <c r="A204" s="35" t="str">
        <f aca="false">IF(ISBLANK(B204),"",_xlfn.ISOWEEKNUM('Journal de travail'!$B204))</f>
        <v/>
      </c>
      <c r="B204" s="46"/>
      <c r="C204" s="37"/>
      <c r="D204" s="38"/>
      <c r="E204" s="39"/>
      <c r="F204" s="47"/>
      <c r="G204" s="47"/>
    </row>
    <row r="205" customFormat="false" ht="15.75" hidden="false" customHeight="false" outlineLevel="0" collapsed="false">
      <c r="A205" s="35" t="str">
        <f aca="false">IF(ISBLANK(B205),"",_xlfn.ISOWEEKNUM('Journal de travail'!$B205))</f>
        <v/>
      </c>
      <c r="B205" s="48"/>
      <c r="C205" s="42"/>
      <c r="D205" s="43"/>
      <c r="E205" s="44"/>
      <c r="F205" s="49"/>
      <c r="G205" s="49"/>
    </row>
    <row r="206" customFormat="false" ht="15.75" hidden="false" customHeight="false" outlineLevel="0" collapsed="false">
      <c r="A206" s="35" t="str">
        <f aca="false">IF(ISBLANK(B206),"",_xlfn.ISOWEEKNUM('Journal de travail'!$B206))</f>
        <v/>
      </c>
      <c r="B206" s="46"/>
      <c r="C206" s="37"/>
      <c r="D206" s="38"/>
      <c r="E206" s="39"/>
      <c r="F206" s="47"/>
      <c r="G206" s="47"/>
    </row>
    <row r="207" customFormat="false" ht="15.75" hidden="false" customHeight="false" outlineLevel="0" collapsed="false">
      <c r="A207" s="35" t="str">
        <f aca="false">IF(ISBLANK(B207),"",_xlfn.ISOWEEKNUM('Journal de travail'!$B207))</f>
        <v/>
      </c>
      <c r="B207" s="48"/>
      <c r="C207" s="42"/>
      <c r="D207" s="43"/>
      <c r="E207" s="44"/>
      <c r="F207" s="49"/>
      <c r="G207" s="49"/>
    </row>
    <row r="208" customFormat="false" ht="15.75" hidden="false" customHeight="false" outlineLevel="0" collapsed="false">
      <c r="A208" s="35" t="str">
        <f aca="false">IF(ISBLANK(B208),"",_xlfn.ISOWEEKNUM('Journal de travail'!$B208))</f>
        <v/>
      </c>
      <c r="B208" s="46"/>
      <c r="C208" s="37"/>
      <c r="D208" s="38"/>
      <c r="E208" s="39"/>
      <c r="F208" s="47"/>
      <c r="G208" s="47"/>
    </row>
    <row r="209" customFormat="false" ht="15.75" hidden="false" customHeight="false" outlineLevel="0" collapsed="false">
      <c r="A209" s="35" t="str">
        <f aca="false">IF(ISBLANK(B209),"",_xlfn.ISOWEEKNUM('Journal de travail'!$B209))</f>
        <v/>
      </c>
      <c r="B209" s="48"/>
      <c r="C209" s="42"/>
      <c r="D209" s="43"/>
      <c r="E209" s="44"/>
      <c r="F209" s="49"/>
      <c r="G209" s="49"/>
    </row>
    <row r="210" customFormat="false" ht="15.75" hidden="false" customHeight="false" outlineLevel="0" collapsed="false">
      <c r="A210" s="35" t="str">
        <f aca="false">IF(ISBLANK(B210),"",_xlfn.ISOWEEKNUM('Journal de travail'!$B210))</f>
        <v/>
      </c>
      <c r="B210" s="46"/>
      <c r="C210" s="37"/>
      <c r="D210" s="38"/>
      <c r="E210" s="39"/>
      <c r="F210" s="47"/>
      <c r="G210" s="47"/>
    </row>
    <row r="211" customFormat="false" ht="15.75" hidden="false" customHeight="false" outlineLevel="0" collapsed="false">
      <c r="A211" s="35" t="str">
        <f aca="false">IF(ISBLANK(B211),"",_xlfn.ISOWEEKNUM('Journal de travail'!$B211))</f>
        <v/>
      </c>
      <c r="B211" s="48"/>
      <c r="C211" s="42"/>
      <c r="D211" s="43"/>
      <c r="E211" s="44"/>
      <c r="F211" s="49"/>
      <c r="G211" s="49"/>
    </row>
    <row r="212" customFormat="false" ht="15.75" hidden="false" customHeight="false" outlineLevel="0" collapsed="false">
      <c r="A212" s="35" t="str">
        <f aca="false">IF(ISBLANK(B212),"",_xlfn.ISOWEEKNUM('Journal de travail'!$B212))</f>
        <v/>
      </c>
      <c r="B212" s="46"/>
      <c r="C212" s="37"/>
      <c r="D212" s="38"/>
      <c r="E212" s="39"/>
      <c r="F212" s="47"/>
      <c r="G212" s="47"/>
    </row>
    <row r="213" customFormat="false" ht="15.75" hidden="false" customHeight="false" outlineLevel="0" collapsed="false">
      <c r="A213" s="35" t="str">
        <f aca="false">IF(ISBLANK(B213),"",_xlfn.ISOWEEKNUM('Journal de travail'!$B213))</f>
        <v/>
      </c>
      <c r="B213" s="48"/>
      <c r="C213" s="42"/>
      <c r="D213" s="43"/>
      <c r="E213" s="44"/>
      <c r="F213" s="49"/>
      <c r="G213" s="49"/>
    </row>
    <row r="214" customFormat="false" ht="15.75" hidden="false" customHeight="false" outlineLevel="0" collapsed="false">
      <c r="A214" s="35" t="str">
        <f aca="false">IF(ISBLANK(B214),"",_xlfn.ISOWEEKNUM('Journal de travail'!$B214))</f>
        <v/>
      </c>
      <c r="B214" s="46"/>
      <c r="C214" s="37"/>
      <c r="D214" s="38"/>
      <c r="E214" s="39"/>
      <c r="F214" s="47"/>
      <c r="G214" s="47"/>
    </row>
    <row r="215" customFormat="false" ht="15.75" hidden="false" customHeight="false" outlineLevel="0" collapsed="false">
      <c r="A215" s="35" t="str">
        <f aca="false">IF(ISBLANK(B215),"",_xlfn.ISOWEEKNUM('Journal de travail'!$B215))</f>
        <v/>
      </c>
      <c r="B215" s="48"/>
      <c r="C215" s="42"/>
      <c r="D215" s="43"/>
      <c r="E215" s="44"/>
      <c r="F215" s="49"/>
      <c r="G215" s="49"/>
    </row>
    <row r="216" customFormat="false" ht="15.75" hidden="false" customHeight="false" outlineLevel="0" collapsed="false">
      <c r="A216" s="35" t="str">
        <f aca="false">IF(ISBLANK(B216),"",_xlfn.ISOWEEKNUM('Journal de travail'!$B216))</f>
        <v/>
      </c>
      <c r="B216" s="46"/>
      <c r="C216" s="37"/>
      <c r="D216" s="38"/>
      <c r="E216" s="39"/>
      <c r="F216" s="47"/>
      <c r="G216" s="47"/>
    </row>
    <row r="217" customFormat="false" ht="15.75" hidden="false" customHeight="false" outlineLevel="0" collapsed="false">
      <c r="A217" s="35" t="str">
        <f aca="false">IF(ISBLANK(B217),"",_xlfn.ISOWEEKNUM('Journal de travail'!$B217))</f>
        <v/>
      </c>
      <c r="B217" s="48"/>
      <c r="C217" s="42"/>
      <c r="D217" s="43"/>
      <c r="E217" s="44"/>
      <c r="F217" s="49"/>
      <c r="G217" s="49"/>
    </row>
    <row r="218" customFormat="false" ht="15.75" hidden="false" customHeight="false" outlineLevel="0" collapsed="false">
      <c r="A218" s="35" t="str">
        <f aca="false">IF(ISBLANK(B218),"",_xlfn.ISOWEEKNUM('Journal de travail'!$B218))</f>
        <v/>
      </c>
      <c r="B218" s="46"/>
      <c r="C218" s="37"/>
      <c r="D218" s="38"/>
      <c r="E218" s="39"/>
      <c r="F218" s="47"/>
      <c r="G218" s="47"/>
    </row>
    <row r="219" customFormat="false" ht="15.75" hidden="false" customHeight="false" outlineLevel="0" collapsed="false">
      <c r="A219" s="35" t="str">
        <f aca="false">IF(ISBLANK(B219),"",_xlfn.ISOWEEKNUM('Journal de travail'!$B219))</f>
        <v/>
      </c>
      <c r="B219" s="48"/>
      <c r="C219" s="42"/>
      <c r="D219" s="43"/>
      <c r="E219" s="44"/>
      <c r="F219" s="49"/>
      <c r="G219" s="49"/>
    </row>
    <row r="220" customFormat="false" ht="15.75" hidden="false" customHeight="false" outlineLevel="0" collapsed="false">
      <c r="A220" s="35" t="str">
        <f aca="false">IF(ISBLANK(B220),"",_xlfn.ISOWEEKNUM('Journal de travail'!$B220))</f>
        <v/>
      </c>
      <c r="B220" s="46"/>
      <c r="C220" s="37"/>
      <c r="D220" s="38"/>
      <c r="E220" s="39"/>
      <c r="F220" s="47"/>
      <c r="G220" s="47"/>
    </row>
    <row r="221" customFormat="false" ht="15.75" hidden="false" customHeight="false" outlineLevel="0" collapsed="false">
      <c r="A221" s="35" t="str">
        <f aca="false">IF(ISBLANK(B221),"",_xlfn.ISOWEEKNUM('Journal de travail'!$B221))</f>
        <v/>
      </c>
      <c r="B221" s="48"/>
      <c r="C221" s="42"/>
      <c r="D221" s="43"/>
      <c r="E221" s="44"/>
      <c r="F221" s="49"/>
      <c r="G221" s="49"/>
    </row>
    <row r="222" customFormat="false" ht="15.75" hidden="false" customHeight="false" outlineLevel="0" collapsed="false">
      <c r="A222" s="35" t="str">
        <f aca="false">IF(ISBLANK(B222),"",_xlfn.ISOWEEKNUM('Journal de travail'!$B222))</f>
        <v/>
      </c>
      <c r="B222" s="46"/>
      <c r="C222" s="37"/>
      <c r="D222" s="38"/>
      <c r="E222" s="39"/>
      <c r="F222" s="47"/>
      <c r="G222" s="47"/>
    </row>
    <row r="223" customFormat="false" ht="15.75" hidden="false" customHeight="false" outlineLevel="0" collapsed="false">
      <c r="A223" s="35" t="str">
        <f aca="false">IF(ISBLANK(B223),"",_xlfn.ISOWEEKNUM('Journal de travail'!$B223))</f>
        <v/>
      </c>
      <c r="B223" s="48"/>
      <c r="C223" s="42"/>
      <c r="D223" s="43"/>
      <c r="E223" s="44"/>
      <c r="F223" s="49"/>
      <c r="G223" s="49"/>
    </row>
    <row r="224" customFormat="false" ht="15.75" hidden="false" customHeight="false" outlineLevel="0" collapsed="false">
      <c r="A224" s="35" t="str">
        <f aca="false">IF(ISBLANK(B224),"",_xlfn.ISOWEEKNUM('Journal de travail'!$B224))</f>
        <v/>
      </c>
      <c r="B224" s="46"/>
      <c r="C224" s="37"/>
      <c r="D224" s="38"/>
      <c r="E224" s="39"/>
      <c r="F224" s="47"/>
      <c r="G224" s="47"/>
    </row>
    <row r="225" customFormat="false" ht="15.75" hidden="false" customHeight="false" outlineLevel="0" collapsed="false">
      <c r="A225" s="35" t="str">
        <f aca="false">IF(ISBLANK(B225),"",_xlfn.ISOWEEKNUM('Journal de travail'!$B225))</f>
        <v/>
      </c>
      <c r="B225" s="48"/>
      <c r="C225" s="42"/>
      <c r="D225" s="43"/>
      <c r="E225" s="44"/>
      <c r="F225" s="49"/>
      <c r="G225" s="49"/>
    </row>
    <row r="226" customFormat="false" ht="15.75" hidden="false" customHeight="false" outlineLevel="0" collapsed="false">
      <c r="A226" s="35" t="str">
        <f aca="false">IF(ISBLANK(B226),"",_xlfn.ISOWEEKNUM('Journal de travail'!$B226))</f>
        <v/>
      </c>
      <c r="B226" s="46"/>
      <c r="C226" s="37"/>
      <c r="D226" s="38"/>
      <c r="E226" s="39"/>
      <c r="F226" s="47"/>
      <c r="G226" s="47"/>
    </row>
    <row r="227" customFormat="false" ht="15.75" hidden="false" customHeight="false" outlineLevel="0" collapsed="false">
      <c r="A227" s="35" t="str">
        <f aca="false">IF(ISBLANK(B227),"",_xlfn.ISOWEEKNUM('Journal de travail'!$B227))</f>
        <v/>
      </c>
      <c r="B227" s="48"/>
      <c r="C227" s="42"/>
      <c r="D227" s="43"/>
      <c r="E227" s="44"/>
      <c r="F227" s="49"/>
      <c r="G227" s="49"/>
    </row>
    <row r="228" customFormat="false" ht="15.75" hidden="false" customHeight="false" outlineLevel="0" collapsed="false">
      <c r="A228" s="35" t="str">
        <f aca="false">IF(ISBLANK(B228),"",_xlfn.ISOWEEKNUM('Journal de travail'!$B228))</f>
        <v/>
      </c>
      <c r="B228" s="46"/>
      <c r="C228" s="37"/>
      <c r="D228" s="38"/>
      <c r="E228" s="39"/>
      <c r="F228" s="47"/>
      <c r="G228" s="47"/>
    </row>
    <row r="229" customFormat="false" ht="15.75" hidden="false" customHeight="false" outlineLevel="0" collapsed="false">
      <c r="A229" s="35" t="str">
        <f aca="false">IF(ISBLANK(B229),"",_xlfn.ISOWEEKNUM('Journal de travail'!$B229))</f>
        <v/>
      </c>
      <c r="B229" s="48"/>
      <c r="C229" s="42"/>
      <c r="D229" s="43"/>
      <c r="E229" s="44"/>
      <c r="F229" s="49"/>
      <c r="G229" s="49"/>
    </row>
    <row r="230" customFormat="false" ht="15.75" hidden="false" customHeight="false" outlineLevel="0" collapsed="false">
      <c r="A230" s="35" t="str">
        <f aca="false">IF(ISBLANK(B230),"",_xlfn.ISOWEEKNUM('Journal de travail'!$B230))</f>
        <v/>
      </c>
      <c r="B230" s="46"/>
      <c r="C230" s="37"/>
      <c r="D230" s="38"/>
      <c r="E230" s="39"/>
      <c r="F230" s="47"/>
      <c r="G230" s="47"/>
    </row>
    <row r="231" customFormat="false" ht="15.75" hidden="false" customHeight="false" outlineLevel="0" collapsed="false">
      <c r="A231" s="35" t="str">
        <f aca="false">IF(ISBLANK(B231),"",_xlfn.ISOWEEKNUM('Journal de travail'!$B231))</f>
        <v/>
      </c>
      <c r="B231" s="48"/>
      <c r="C231" s="42"/>
      <c r="D231" s="43"/>
      <c r="E231" s="44"/>
      <c r="F231" s="49"/>
      <c r="G231" s="49"/>
    </row>
    <row r="232" customFormat="false" ht="15.75" hidden="false" customHeight="false" outlineLevel="0" collapsed="false">
      <c r="A232" s="35" t="str">
        <f aca="false">IF(ISBLANK(B232),"",_xlfn.ISOWEEKNUM('Journal de travail'!$B232))</f>
        <v/>
      </c>
      <c r="B232" s="46"/>
      <c r="C232" s="37"/>
      <c r="D232" s="38"/>
      <c r="E232" s="39"/>
      <c r="F232" s="47"/>
      <c r="G232" s="47"/>
    </row>
    <row r="233" customFormat="false" ht="15.75" hidden="false" customHeight="false" outlineLevel="0" collapsed="false">
      <c r="A233" s="35" t="str">
        <f aca="false">IF(ISBLANK(B233),"",_xlfn.ISOWEEKNUM('Journal de travail'!$B233))</f>
        <v/>
      </c>
      <c r="B233" s="48"/>
      <c r="C233" s="42"/>
      <c r="D233" s="43"/>
      <c r="E233" s="44"/>
      <c r="F233" s="49"/>
      <c r="G233" s="49"/>
    </row>
    <row r="234" customFormat="false" ht="15.75" hidden="false" customHeight="false" outlineLevel="0" collapsed="false">
      <c r="A234" s="35" t="str">
        <f aca="false">IF(ISBLANK(B234),"",_xlfn.ISOWEEKNUM('Journal de travail'!$B234))</f>
        <v/>
      </c>
      <c r="B234" s="46"/>
      <c r="C234" s="37"/>
      <c r="D234" s="38"/>
      <c r="E234" s="39"/>
      <c r="F234" s="47"/>
      <c r="G234" s="47"/>
    </row>
    <row r="235" customFormat="false" ht="15.75" hidden="false" customHeight="false" outlineLevel="0" collapsed="false">
      <c r="A235" s="35" t="str">
        <f aca="false">IF(ISBLANK(B235),"",_xlfn.ISOWEEKNUM('Journal de travail'!$B235))</f>
        <v/>
      </c>
      <c r="B235" s="48"/>
      <c r="C235" s="42"/>
      <c r="D235" s="43"/>
      <c r="E235" s="44"/>
      <c r="F235" s="49"/>
      <c r="G235" s="49"/>
    </row>
    <row r="236" customFormat="false" ht="15.75" hidden="false" customHeight="false" outlineLevel="0" collapsed="false">
      <c r="A236" s="35" t="str">
        <f aca="false">IF(ISBLANK(B236),"",_xlfn.ISOWEEKNUM('Journal de travail'!$B236))</f>
        <v/>
      </c>
      <c r="B236" s="46"/>
      <c r="C236" s="37"/>
      <c r="D236" s="38"/>
      <c r="E236" s="39"/>
      <c r="F236" s="47"/>
      <c r="G236" s="47"/>
    </row>
    <row r="237" customFormat="false" ht="15.75" hidden="false" customHeight="false" outlineLevel="0" collapsed="false">
      <c r="A237" s="35" t="str">
        <f aca="false">IF(ISBLANK(B237),"",_xlfn.ISOWEEKNUM('Journal de travail'!$B237))</f>
        <v/>
      </c>
      <c r="B237" s="48"/>
      <c r="C237" s="42"/>
      <c r="D237" s="43"/>
      <c r="E237" s="44"/>
      <c r="F237" s="49"/>
      <c r="G237" s="49"/>
    </row>
    <row r="238" customFormat="false" ht="15.75" hidden="false" customHeight="false" outlineLevel="0" collapsed="false">
      <c r="A238" s="35" t="str">
        <f aca="false">IF(ISBLANK(B238),"",_xlfn.ISOWEEKNUM('Journal de travail'!$B238))</f>
        <v/>
      </c>
      <c r="B238" s="46"/>
      <c r="C238" s="37"/>
      <c r="D238" s="38"/>
      <c r="E238" s="39"/>
      <c r="F238" s="47"/>
      <c r="G238" s="47"/>
    </row>
    <row r="239" customFormat="false" ht="15.75" hidden="false" customHeight="false" outlineLevel="0" collapsed="false">
      <c r="A239" s="35" t="str">
        <f aca="false">IF(ISBLANK(B239),"",_xlfn.ISOWEEKNUM('Journal de travail'!$B239))</f>
        <v/>
      </c>
      <c r="B239" s="48"/>
      <c r="C239" s="42"/>
      <c r="D239" s="43"/>
      <c r="E239" s="44"/>
      <c r="F239" s="49"/>
      <c r="G239" s="49"/>
    </row>
    <row r="240" customFormat="false" ht="15.75" hidden="false" customHeight="false" outlineLevel="0" collapsed="false">
      <c r="A240" s="35" t="str">
        <f aca="false">IF(ISBLANK(B240),"",_xlfn.ISOWEEKNUM('Journal de travail'!$B240))</f>
        <v/>
      </c>
      <c r="B240" s="46"/>
      <c r="C240" s="37"/>
      <c r="D240" s="38"/>
      <c r="E240" s="39"/>
      <c r="F240" s="47"/>
      <c r="G240" s="47"/>
    </row>
    <row r="241" customFormat="false" ht="15.75" hidden="false" customHeight="false" outlineLevel="0" collapsed="false">
      <c r="A241" s="35" t="str">
        <f aca="false">IF(ISBLANK(B241),"",_xlfn.ISOWEEKNUM('Journal de travail'!$B241))</f>
        <v/>
      </c>
      <c r="B241" s="48"/>
      <c r="C241" s="42"/>
      <c r="D241" s="43"/>
      <c r="E241" s="44"/>
      <c r="F241" s="49"/>
      <c r="G241" s="49"/>
    </row>
    <row r="242" customFormat="false" ht="15.75" hidden="false" customHeight="false" outlineLevel="0" collapsed="false">
      <c r="A242" s="35" t="str">
        <f aca="false">IF(ISBLANK(B242),"",_xlfn.ISOWEEKNUM('Journal de travail'!$B242))</f>
        <v/>
      </c>
      <c r="B242" s="46"/>
      <c r="C242" s="37"/>
      <c r="D242" s="38"/>
      <c r="E242" s="39"/>
      <c r="F242" s="47"/>
      <c r="G242" s="47"/>
    </row>
    <row r="243" customFormat="false" ht="15.75" hidden="false" customHeight="false" outlineLevel="0" collapsed="false">
      <c r="A243" s="35" t="str">
        <f aca="false">IF(ISBLANK(B243),"",_xlfn.ISOWEEKNUM('Journal de travail'!$B243))</f>
        <v/>
      </c>
      <c r="B243" s="48"/>
      <c r="C243" s="42"/>
      <c r="D243" s="43"/>
      <c r="E243" s="44"/>
      <c r="F243" s="49"/>
      <c r="G243" s="49"/>
    </row>
    <row r="244" customFormat="false" ht="15.75" hidden="false" customHeight="false" outlineLevel="0" collapsed="false">
      <c r="A244" s="35" t="str">
        <f aca="false">IF(ISBLANK(B244),"",_xlfn.ISOWEEKNUM('Journal de travail'!$B244))</f>
        <v/>
      </c>
      <c r="B244" s="46"/>
      <c r="C244" s="37"/>
      <c r="D244" s="38"/>
      <c r="E244" s="39"/>
      <c r="F244" s="47"/>
      <c r="G244" s="47"/>
    </row>
    <row r="245" customFormat="false" ht="15.75" hidden="false" customHeight="false" outlineLevel="0" collapsed="false">
      <c r="A245" s="35" t="str">
        <f aca="false">IF(ISBLANK(B245),"",_xlfn.ISOWEEKNUM('Journal de travail'!$B245))</f>
        <v/>
      </c>
      <c r="B245" s="48"/>
      <c r="C245" s="42"/>
      <c r="D245" s="43"/>
      <c r="E245" s="44"/>
      <c r="F245" s="49"/>
      <c r="G245" s="49"/>
    </row>
    <row r="246" customFormat="false" ht="15.75" hidden="false" customHeight="false" outlineLevel="0" collapsed="false">
      <c r="A246" s="35" t="str">
        <f aca="false">IF(ISBLANK(B246),"",_xlfn.ISOWEEKNUM('Journal de travail'!$B246))</f>
        <v/>
      </c>
      <c r="B246" s="46"/>
      <c r="C246" s="37"/>
      <c r="D246" s="38"/>
      <c r="E246" s="39"/>
      <c r="F246" s="47"/>
      <c r="G246" s="47"/>
    </row>
    <row r="247" customFormat="false" ht="15.75" hidden="false" customHeight="false" outlineLevel="0" collapsed="false">
      <c r="A247" s="35" t="str">
        <f aca="false">IF(ISBLANK(B247),"",_xlfn.ISOWEEKNUM('Journal de travail'!$B247))</f>
        <v/>
      </c>
      <c r="B247" s="48"/>
      <c r="C247" s="42"/>
      <c r="D247" s="43"/>
      <c r="E247" s="44"/>
      <c r="F247" s="49"/>
      <c r="G247" s="49"/>
    </row>
    <row r="248" customFormat="false" ht="15.75" hidden="false" customHeight="false" outlineLevel="0" collapsed="false">
      <c r="A248" s="35" t="str">
        <f aca="false">IF(ISBLANK(B248),"",_xlfn.ISOWEEKNUM('Journal de travail'!$B248))</f>
        <v/>
      </c>
      <c r="B248" s="46"/>
      <c r="C248" s="37"/>
      <c r="D248" s="38"/>
      <c r="E248" s="39"/>
      <c r="F248" s="47"/>
      <c r="G248" s="47"/>
    </row>
    <row r="249" customFormat="false" ht="15.75" hidden="false" customHeight="false" outlineLevel="0" collapsed="false">
      <c r="A249" s="35" t="str">
        <f aca="false">IF(ISBLANK(B249),"",_xlfn.ISOWEEKNUM('Journal de travail'!$B249))</f>
        <v/>
      </c>
      <c r="B249" s="48"/>
      <c r="C249" s="42"/>
      <c r="D249" s="43"/>
      <c r="E249" s="44"/>
      <c r="F249" s="49"/>
      <c r="G249" s="49"/>
    </row>
    <row r="250" customFormat="false" ht="15.75" hidden="false" customHeight="false" outlineLevel="0" collapsed="false">
      <c r="A250" s="35" t="str">
        <f aca="false">IF(ISBLANK(B250),"",_xlfn.ISOWEEKNUM('Journal de travail'!$B250))</f>
        <v/>
      </c>
      <c r="B250" s="46"/>
      <c r="C250" s="37"/>
      <c r="D250" s="38"/>
      <c r="E250" s="39"/>
      <c r="F250" s="47"/>
      <c r="G250" s="47"/>
    </row>
    <row r="251" customFormat="false" ht="15.75" hidden="false" customHeight="false" outlineLevel="0" collapsed="false">
      <c r="A251" s="35" t="str">
        <f aca="false">IF(ISBLANK(B251),"",_xlfn.ISOWEEKNUM('Journal de travail'!$B251))</f>
        <v/>
      </c>
      <c r="B251" s="48"/>
      <c r="C251" s="42"/>
      <c r="D251" s="43"/>
      <c r="E251" s="44"/>
      <c r="F251" s="49"/>
      <c r="G251" s="49"/>
    </row>
    <row r="252" customFormat="false" ht="15.75" hidden="false" customHeight="false" outlineLevel="0" collapsed="false">
      <c r="A252" s="35" t="str">
        <f aca="false">IF(ISBLANK(B252),"",_xlfn.ISOWEEKNUM('Journal de travail'!$B252))</f>
        <v/>
      </c>
      <c r="B252" s="46"/>
      <c r="C252" s="37"/>
      <c r="D252" s="38"/>
      <c r="E252" s="39"/>
      <c r="F252" s="47"/>
      <c r="G252" s="47"/>
    </row>
    <row r="253" customFormat="false" ht="15.75" hidden="false" customHeight="false" outlineLevel="0" collapsed="false">
      <c r="A253" s="35" t="str">
        <f aca="false">IF(ISBLANK(B253),"",_xlfn.ISOWEEKNUM('Journal de travail'!$B253))</f>
        <v/>
      </c>
      <c r="B253" s="48"/>
      <c r="C253" s="42"/>
      <c r="D253" s="43"/>
      <c r="E253" s="44"/>
      <c r="F253" s="49"/>
      <c r="G253" s="49"/>
    </row>
    <row r="254" customFormat="false" ht="15.75" hidden="false" customHeight="false" outlineLevel="0" collapsed="false">
      <c r="A254" s="35" t="str">
        <f aca="false">IF(ISBLANK(B254),"",_xlfn.ISOWEEKNUM('Journal de travail'!$B254))</f>
        <v/>
      </c>
      <c r="B254" s="46"/>
      <c r="C254" s="37"/>
      <c r="D254" s="38"/>
      <c r="E254" s="39"/>
      <c r="F254" s="47"/>
      <c r="G254" s="47"/>
    </row>
    <row r="255" customFormat="false" ht="15.75" hidden="false" customHeight="false" outlineLevel="0" collapsed="false">
      <c r="A255" s="35" t="str">
        <f aca="false">IF(ISBLANK(B255),"",_xlfn.ISOWEEKNUM('Journal de travail'!$B255))</f>
        <v/>
      </c>
      <c r="B255" s="48"/>
      <c r="C255" s="42"/>
      <c r="D255" s="43"/>
      <c r="E255" s="44"/>
      <c r="F255" s="49"/>
      <c r="G255" s="49"/>
    </row>
    <row r="256" customFormat="false" ht="15.75" hidden="false" customHeight="false" outlineLevel="0" collapsed="false">
      <c r="A256" s="35" t="str">
        <f aca="false">IF(ISBLANK(B256),"",_xlfn.ISOWEEKNUM('Journal de travail'!$B256))</f>
        <v/>
      </c>
      <c r="B256" s="46"/>
      <c r="C256" s="37"/>
      <c r="D256" s="38"/>
      <c r="E256" s="39"/>
      <c r="F256" s="47"/>
      <c r="G256" s="47"/>
    </row>
    <row r="257" customFormat="false" ht="15.75" hidden="false" customHeight="false" outlineLevel="0" collapsed="false">
      <c r="A257" s="35" t="str">
        <f aca="false">IF(ISBLANK(B257),"",_xlfn.ISOWEEKNUM('Journal de travail'!$B257))</f>
        <v/>
      </c>
      <c r="B257" s="48"/>
      <c r="C257" s="42"/>
      <c r="D257" s="43"/>
      <c r="E257" s="44"/>
      <c r="F257" s="49"/>
      <c r="G257" s="49"/>
    </row>
    <row r="258" customFormat="false" ht="15.75" hidden="false" customHeight="false" outlineLevel="0" collapsed="false">
      <c r="A258" s="35" t="str">
        <f aca="false">IF(ISBLANK(B258),"",_xlfn.ISOWEEKNUM('Journal de travail'!$B258))</f>
        <v/>
      </c>
      <c r="B258" s="46"/>
      <c r="C258" s="37"/>
      <c r="D258" s="38"/>
      <c r="E258" s="39"/>
      <c r="F258" s="47"/>
      <c r="G258" s="47"/>
    </row>
    <row r="259" customFormat="false" ht="15.75" hidden="false" customHeight="false" outlineLevel="0" collapsed="false">
      <c r="A259" s="35" t="str">
        <f aca="false">IF(ISBLANK(B259),"",_xlfn.ISOWEEKNUM('Journal de travail'!$B259))</f>
        <v/>
      </c>
      <c r="B259" s="48"/>
      <c r="C259" s="42"/>
      <c r="D259" s="43"/>
      <c r="E259" s="44"/>
      <c r="F259" s="49"/>
      <c r="G259" s="49"/>
    </row>
    <row r="260" customFormat="false" ht="15.75" hidden="false" customHeight="false" outlineLevel="0" collapsed="false">
      <c r="A260" s="35" t="str">
        <f aca="false">IF(ISBLANK(B260),"",_xlfn.ISOWEEKNUM('Journal de travail'!$B260))</f>
        <v/>
      </c>
      <c r="B260" s="46"/>
      <c r="C260" s="37"/>
      <c r="D260" s="38"/>
      <c r="E260" s="39"/>
      <c r="F260" s="47"/>
      <c r="G260" s="47"/>
    </row>
    <row r="261" customFormat="false" ht="15.75" hidden="false" customHeight="false" outlineLevel="0" collapsed="false">
      <c r="A261" s="35" t="str">
        <f aca="false">IF(ISBLANK(B261),"",_xlfn.ISOWEEKNUM('Journal de travail'!$B261))</f>
        <v/>
      </c>
      <c r="B261" s="48"/>
      <c r="C261" s="42"/>
      <c r="D261" s="43"/>
      <c r="E261" s="44"/>
      <c r="F261" s="49"/>
      <c r="G261" s="49"/>
    </row>
    <row r="262" customFormat="false" ht="15.75" hidden="false" customHeight="false" outlineLevel="0" collapsed="false">
      <c r="A262" s="35" t="str">
        <f aca="false">IF(ISBLANK(B262),"",_xlfn.ISOWEEKNUM('Journal de travail'!$B262))</f>
        <v/>
      </c>
      <c r="B262" s="46"/>
      <c r="C262" s="37"/>
      <c r="D262" s="38"/>
      <c r="E262" s="39"/>
      <c r="F262" s="47"/>
      <c r="G262" s="47"/>
    </row>
    <row r="263" customFormat="false" ht="15.75" hidden="false" customHeight="false" outlineLevel="0" collapsed="false">
      <c r="A263" s="35" t="str">
        <f aca="false">IF(ISBLANK(B263),"",_xlfn.ISOWEEKNUM('Journal de travail'!$B263))</f>
        <v/>
      </c>
      <c r="B263" s="48"/>
      <c r="C263" s="42"/>
      <c r="D263" s="43"/>
      <c r="E263" s="44"/>
      <c r="F263" s="49"/>
      <c r="G263" s="49"/>
    </row>
    <row r="264" customFormat="false" ht="15.75" hidden="false" customHeight="false" outlineLevel="0" collapsed="false">
      <c r="A264" s="35" t="str">
        <f aca="false">IF(ISBLANK(B264),"",_xlfn.ISOWEEKNUM('Journal de travail'!$B264))</f>
        <v/>
      </c>
      <c r="B264" s="46"/>
      <c r="C264" s="37"/>
      <c r="D264" s="38"/>
      <c r="E264" s="39"/>
      <c r="F264" s="47"/>
      <c r="G264" s="47"/>
    </row>
    <row r="265" customFormat="false" ht="15.75" hidden="false" customHeight="false" outlineLevel="0" collapsed="false">
      <c r="A265" s="35" t="str">
        <f aca="false">IF(ISBLANK(B265),"",_xlfn.ISOWEEKNUM('Journal de travail'!$B265))</f>
        <v/>
      </c>
      <c r="B265" s="48"/>
      <c r="C265" s="42"/>
      <c r="D265" s="43"/>
      <c r="E265" s="44"/>
      <c r="F265" s="49"/>
      <c r="G265" s="49"/>
    </row>
    <row r="266" customFormat="false" ht="15.75" hidden="false" customHeight="false" outlineLevel="0" collapsed="false">
      <c r="A266" s="35" t="str">
        <f aca="false">IF(ISBLANK(B266),"",_xlfn.ISOWEEKNUM('Journal de travail'!$B266))</f>
        <v/>
      </c>
      <c r="B266" s="46"/>
      <c r="C266" s="37"/>
      <c r="D266" s="38"/>
      <c r="E266" s="39"/>
      <c r="F266" s="47"/>
      <c r="G266" s="47"/>
    </row>
    <row r="267" customFormat="false" ht="15.75" hidden="false" customHeight="false" outlineLevel="0" collapsed="false">
      <c r="A267" s="35" t="str">
        <f aca="false">IF(ISBLANK(B267),"",_xlfn.ISOWEEKNUM('Journal de travail'!$B267))</f>
        <v/>
      </c>
      <c r="B267" s="48"/>
      <c r="C267" s="42"/>
      <c r="D267" s="43"/>
      <c r="E267" s="44"/>
      <c r="F267" s="49"/>
      <c r="G267" s="49"/>
    </row>
    <row r="268" customFormat="false" ht="15.75" hidden="false" customHeight="false" outlineLevel="0" collapsed="false">
      <c r="A268" s="35" t="str">
        <f aca="false">IF(ISBLANK(B268),"",_xlfn.ISOWEEKNUM('Journal de travail'!$B268))</f>
        <v/>
      </c>
      <c r="B268" s="46"/>
      <c r="C268" s="37"/>
      <c r="D268" s="38"/>
      <c r="E268" s="39"/>
      <c r="F268" s="47"/>
      <c r="G268" s="47"/>
    </row>
    <row r="269" customFormat="false" ht="15.75" hidden="false" customHeight="false" outlineLevel="0" collapsed="false">
      <c r="A269" s="35" t="str">
        <f aca="false">IF(ISBLANK(B269),"",_xlfn.ISOWEEKNUM('Journal de travail'!$B269))</f>
        <v/>
      </c>
      <c r="B269" s="48"/>
      <c r="C269" s="42"/>
      <c r="D269" s="43"/>
      <c r="E269" s="44"/>
      <c r="F269" s="49"/>
      <c r="G269" s="49"/>
    </row>
    <row r="270" customFormat="false" ht="15.75" hidden="false" customHeight="false" outlineLevel="0" collapsed="false">
      <c r="A270" s="35" t="str">
        <f aca="false">IF(ISBLANK(B270),"",_xlfn.ISOWEEKNUM('Journal de travail'!$B270))</f>
        <v/>
      </c>
      <c r="B270" s="46"/>
      <c r="C270" s="37"/>
      <c r="D270" s="38"/>
      <c r="E270" s="39"/>
      <c r="F270" s="47"/>
      <c r="G270" s="47"/>
    </row>
    <row r="271" customFormat="false" ht="15.75" hidden="false" customHeight="false" outlineLevel="0" collapsed="false">
      <c r="A271" s="35" t="str">
        <f aca="false">IF(ISBLANK(B271),"",_xlfn.ISOWEEKNUM('Journal de travail'!$B271))</f>
        <v/>
      </c>
      <c r="B271" s="48"/>
      <c r="C271" s="42"/>
      <c r="D271" s="43"/>
      <c r="E271" s="44"/>
      <c r="F271" s="49"/>
      <c r="G271" s="49"/>
    </row>
    <row r="272" customFormat="false" ht="15.75" hidden="false" customHeight="false" outlineLevel="0" collapsed="false">
      <c r="A272" s="35" t="str">
        <f aca="false">IF(ISBLANK(B272),"",_xlfn.ISOWEEKNUM('Journal de travail'!$B272))</f>
        <v/>
      </c>
      <c r="B272" s="46"/>
      <c r="C272" s="37"/>
      <c r="D272" s="38"/>
      <c r="E272" s="39"/>
      <c r="F272" s="47"/>
      <c r="G272" s="47"/>
    </row>
    <row r="273" customFormat="false" ht="15.75" hidden="false" customHeight="false" outlineLevel="0" collapsed="false">
      <c r="A273" s="35" t="str">
        <f aca="false">IF(ISBLANK(B273),"",_xlfn.ISOWEEKNUM('Journal de travail'!$B273))</f>
        <v/>
      </c>
      <c r="B273" s="48"/>
      <c r="C273" s="42"/>
      <c r="D273" s="43"/>
      <c r="E273" s="44"/>
      <c r="F273" s="49"/>
      <c r="G273" s="49"/>
    </row>
    <row r="274" customFormat="false" ht="15.75" hidden="false" customHeight="false" outlineLevel="0" collapsed="false">
      <c r="A274" s="35" t="str">
        <f aca="false">IF(ISBLANK(B274),"",_xlfn.ISOWEEKNUM('Journal de travail'!$B274))</f>
        <v/>
      </c>
      <c r="B274" s="46"/>
      <c r="C274" s="37"/>
      <c r="D274" s="38"/>
      <c r="E274" s="39"/>
      <c r="F274" s="47"/>
      <c r="G274" s="47"/>
    </row>
    <row r="275" customFormat="false" ht="15.75" hidden="false" customHeight="false" outlineLevel="0" collapsed="false">
      <c r="A275" s="35" t="str">
        <f aca="false">IF(ISBLANK(B275),"",_xlfn.ISOWEEKNUM('Journal de travail'!$B275))</f>
        <v/>
      </c>
      <c r="B275" s="48"/>
      <c r="C275" s="42"/>
      <c r="D275" s="43"/>
      <c r="E275" s="44"/>
      <c r="F275" s="49"/>
      <c r="G275" s="49"/>
    </row>
    <row r="276" customFormat="false" ht="15.75" hidden="false" customHeight="false" outlineLevel="0" collapsed="false">
      <c r="A276" s="35" t="str">
        <f aca="false">IF(ISBLANK(B276),"",_xlfn.ISOWEEKNUM('Journal de travail'!$B276))</f>
        <v/>
      </c>
      <c r="B276" s="46"/>
      <c r="C276" s="37"/>
      <c r="D276" s="38"/>
      <c r="E276" s="39"/>
      <c r="F276" s="47"/>
      <c r="G276" s="47"/>
    </row>
    <row r="277" customFormat="false" ht="15.75" hidden="false" customHeight="false" outlineLevel="0" collapsed="false">
      <c r="A277" s="35" t="str">
        <f aca="false">IF(ISBLANK(B277),"",_xlfn.ISOWEEKNUM('Journal de travail'!$B277))</f>
        <v/>
      </c>
      <c r="B277" s="48"/>
      <c r="C277" s="42"/>
      <c r="D277" s="43"/>
      <c r="E277" s="44"/>
      <c r="F277" s="49"/>
      <c r="G277" s="49"/>
    </row>
    <row r="278" customFormat="false" ht="15.75" hidden="false" customHeight="false" outlineLevel="0" collapsed="false">
      <c r="A278" s="35" t="str">
        <f aca="false">IF(ISBLANK(B278),"",_xlfn.ISOWEEKNUM('Journal de travail'!$B278))</f>
        <v/>
      </c>
      <c r="B278" s="46"/>
      <c r="C278" s="37"/>
      <c r="D278" s="38"/>
      <c r="E278" s="39"/>
      <c r="F278" s="47"/>
      <c r="G278" s="47"/>
    </row>
    <row r="279" customFormat="false" ht="15.75" hidden="false" customHeight="false" outlineLevel="0" collapsed="false">
      <c r="A279" s="35" t="str">
        <f aca="false">IF(ISBLANK(B279),"",_xlfn.ISOWEEKNUM('Journal de travail'!$B279))</f>
        <v/>
      </c>
      <c r="B279" s="48"/>
      <c r="C279" s="42"/>
      <c r="D279" s="43"/>
      <c r="E279" s="44"/>
      <c r="F279" s="49"/>
      <c r="G279" s="49"/>
    </row>
    <row r="280" customFormat="false" ht="15.75" hidden="false" customHeight="false" outlineLevel="0" collapsed="false">
      <c r="A280" s="35" t="str">
        <f aca="false">IF(ISBLANK(B280),"",_xlfn.ISOWEEKNUM('Journal de travail'!$B280))</f>
        <v/>
      </c>
      <c r="B280" s="46"/>
      <c r="C280" s="37"/>
      <c r="D280" s="38"/>
      <c r="E280" s="39"/>
      <c r="F280" s="47"/>
      <c r="G280" s="47"/>
    </row>
    <row r="281" customFormat="false" ht="15.75" hidden="false" customHeight="false" outlineLevel="0" collapsed="false">
      <c r="A281" s="35" t="str">
        <f aca="false">IF(ISBLANK(B281),"",_xlfn.ISOWEEKNUM('Journal de travail'!$B281))</f>
        <v/>
      </c>
      <c r="B281" s="48"/>
      <c r="C281" s="42"/>
      <c r="D281" s="43"/>
      <c r="E281" s="44"/>
      <c r="F281" s="49"/>
      <c r="G281" s="49"/>
    </row>
    <row r="282" customFormat="false" ht="15.75" hidden="false" customHeight="false" outlineLevel="0" collapsed="false">
      <c r="A282" s="35" t="str">
        <f aca="false">IF(ISBLANK(B282),"",_xlfn.ISOWEEKNUM('Journal de travail'!$B282))</f>
        <v/>
      </c>
      <c r="B282" s="46"/>
      <c r="C282" s="37"/>
      <c r="D282" s="38"/>
      <c r="E282" s="39"/>
      <c r="F282" s="47"/>
      <c r="G282" s="47"/>
    </row>
    <row r="283" customFormat="false" ht="15.75" hidden="false" customHeight="false" outlineLevel="0" collapsed="false">
      <c r="A283" s="35" t="str">
        <f aca="false">IF(ISBLANK(B283),"",_xlfn.ISOWEEKNUM('Journal de travail'!$B283))</f>
        <v/>
      </c>
      <c r="B283" s="48"/>
      <c r="C283" s="42"/>
      <c r="D283" s="43"/>
      <c r="E283" s="44"/>
      <c r="F283" s="49"/>
      <c r="G283" s="49"/>
    </row>
    <row r="284" customFormat="false" ht="15.75" hidden="false" customHeight="false" outlineLevel="0" collapsed="false">
      <c r="A284" s="35" t="str">
        <f aca="false">IF(ISBLANK(B284),"",_xlfn.ISOWEEKNUM('Journal de travail'!$B284))</f>
        <v/>
      </c>
      <c r="B284" s="46"/>
      <c r="C284" s="37"/>
      <c r="D284" s="38"/>
      <c r="E284" s="39"/>
      <c r="F284" s="47"/>
      <c r="G284" s="47"/>
    </row>
    <row r="285" customFormat="false" ht="15.75" hidden="false" customHeight="false" outlineLevel="0" collapsed="false">
      <c r="A285" s="35" t="str">
        <f aca="false">IF(ISBLANK(B285),"",_xlfn.ISOWEEKNUM('Journal de travail'!$B285))</f>
        <v/>
      </c>
      <c r="B285" s="48"/>
      <c r="C285" s="42"/>
      <c r="D285" s="43"/>
      <c r="E285" s="44"/>
      <c r="F285" s="49"/>
      <c r="G285" s="49"/>
    </row>
    <row r="286" customFormat="false" ht="15.75" hidden="false" customHeight="false" outlineLevel="0" collapsed="false">
      <c r="A286" s="35" t="str">
        <f aca="false">IF(ISBLANK(B286),"",_xlfn.ISOWEEKNUM('Journal de travail'!$B286))</f>
        <v/>
      </c>
      <c r="B286" s="46"/>
      <c r="C286" s="37"/>
      <c r="D286" s="38"/>
      <c r="E286" s="39"/>
      <c r="F286" s="47"/>
      <c r="G286" s="47"/>
    </row>
    <row r="287" customFormat="false" ht="15.75" hidden="false" customHeight="false" outlineLevel="0" collapsed="false">
      <c r="A287" s="35" t="str">
        <f aca="false">IF(ISBLANK(B287),"",_xlfn.ISOWEEKNUM('Journal de travail'!$B287))</f>
        <v/>
      </c>
      <c r="B287" s="48"/>
      <c r="C287" s="42"/>
      <c r="D287" s="43"/>
      <c r="E287" s="44"/>
      <c r="F287" s="49"/>
      <c r="G287" s="49"/>
    </row>
    <row r="288" customFormat="false" ht="15.75" hidden="false" customHeight="false" outlineLevel="0" collapsed="false">
      <c r="A288" s="35" t="str">
        <f aca="false">IF(ISBLANK(B288),"",_xlfn.ISOWEEKNUM('Journal de travail'!$B288))</f>
        <v/>
      </c>
      <c r="B288" s="46"/>
      <c r="C288" s="37"/>
      <c r="D288" s="38"/>
      <c r="E288" s="39"/>
      <c r="F288" s="47"/>
      <c r="G288" s="47"/>
    </row>
    <row r="289" customFormat="false" ht="15.75" hidden="false" customHeight="false" outlineLevel="0" collapsed="false">
      <c r="A289" s="35" t="str">
        <f aca="false">IF(ISBLANK(B289),"",_xlfn.ISOWEEKNUM('Journal de travail'!$B289))</f>
        <v/>
      </c>
      <c r="B289" s="48"/>
      <c r="C289" s="42"/>
      <c r="D289" s="43"/>
      <c r="E289" s="44"/>
      <c r="F289" s="49"/>
      <c r="G289" s="49"/>
    </row>
    <row r="290" customFormat="false" ht="15.75" hidden="false" customHeight="false" outlineLevel="0" collapsed="false">
      <c r="A290" s="35" t="str">
        <f aca="false">IF(ISBLANK(B290),"",_xlfn.ISOWEEKNUM('Journal de travail'!$B290))</f>
        <v/>
      </c>
      <c r="B290" s="46"/>
      <c r="C290" s="37"/>
      <c r="D290" s="38"/>
      <c r="E290" s="39"/>
      <c r="F290" s="47"/>
      <c r="G290" s="47"/>
    </row>
    <row r="291" customFormat="false" ht="15.75" hidden="false" customHeight="false" outlineLevel="0" collapsed="false">
      <c r="A291" s="35" t="str">
        <f aca="false">IF(ISBLANK(B291),"",_xlfn.ISOWEEKNUM('Journal de travail'!$B291))</f>
        <v/>
      </c>
      <c r="B291" s="48"/>
      <c r="C291" s="42"/>
      <c r="D291" s="43"/>
      <c r="E291" s="44"/>
      <c r="F291" s="49"/>
      <c r="G291" s="49"/>
    </row>
    <row r="292" customFormat="false" ht="15.75" hidden="false" customHeight="false" outlineLevel="0" collapsed="false">
      <c r="A292" s="35" t="str">
        <f aca="false">IF(ISBLANK(B292),"",_xlfn.ISOWEEKNUM('Journal de travail'!$B292))</f>
        <v/>
      </c>
      <c r="B292" s="46"/>
      <c r="C292" s="37"/>
      <c r="D292" s="38"/>
      <c r="E292" s="39"/>
      <c r="F292" s="47"/>
      <c r="G292" s="47"/>
    </row>
    <row r="293" customFormat="false" ht="15.75" hidden="false" customHeight="false" outlineLevel="0" collapsed="false">
      <c r="A293" s="35" t="str">
        <f aca="false">IF(ISBLANK(B293),"",_xlfn.ISOWEEKNUM('Journal de travail'!$B293))</f>
        <v/>
      </c>
      <c r="B293" s="48"/>
      <c r="C293" s="42"/>
      <c r="D293" s="43"/>
      <c r="E293" s="44"/>
      <c r="F293" s="49"/>
      <c r="G293" s="49"/>
    </row>
    <row r="294" customFormat="false" ht="15.75" hidden="false" customHeight="false" outlineLevel="0" collapsed="false">
      <c r="A294" s="35" t="str">
        <f aca="false">IF(ISBLANK(B294),"",_xlfn.ISOWEEKNUM('Journal de travail'!$B294))</f>
        <v/>
      </c>
      <c r="B294" s="46"/>
      <c r="C294" s="37"/>
      <c r="D294" s="38"/>
      <c r="E294" s="39"/>
      <c r="F294" s="47"/>
      <c r="G294" s="47"/>
    </row>
    <row r="295" customFormat="false" ht="15.75" hidden="false" customHeight="false" outlineLevel="0" collapsed="false">
      <c r="A295" s="35" t="str">
        <f aca="false">IF(ISBLANK(B295),"",_xlfn.ISOWEEKNUM('Journal de travail'!$B295))</f>
        <v/>
      </c>
      <c r="B295" s="48"/>
      <c r="C295" s="42"/>
      <c r="D295" s="43"/>
      <c r="E295" s="44"/>
      <c r="F295" s="49"/>
      <c r="G295" s="49"/>
    </row>
    <row r="296" customFormat="false" ht="15.75" hidden="false" customHeight="false" outlineLevel="0" collapsed="false">
      <c r="A296" s="35" t="str">
        <f aca="false">IF(ISBLANK(B296),"",_xlfn.ISOWEEKNUM('Journal de travail'!$B296))</f>
        <v/>
      </c>
      <c r="B296" s="46"/>
      <c r="C296" s="37"/>
      <c r="D296" s="38"/>
      <c r="E296" s="39"/>
      <c r="F296" s="47"/>
      <c r="G296" s="47"/>
    </row>
    <row r="297" customFormat="false" ht="15.75" hidden="false" customHeight="false" outlineLevel="0" collapsed="false">
      <c r="A297" s="35" t="str">
        <f aca="false">IF(ISBLANK(B297),"",_xlfn.ISOWEEKNUM('Journal de travail'!$B297))</f>
        <v/>
      </c>
      <c r="B297" s="48"/>
      <c r="C297" s="42"/>
      <c r="D297" s="43"/>
      <c r="E297" s="44"/>
      <c r="F297" s="49"/>
      <c r="G297" s="49"/>
    </row>
    <row r="298" customFormat="false" ht="15.75" hidden="false" customHeight="false" outlineLevel="0" collapsed="false">
      <c r="A298" s="35" t="str">
        <f aca="false">IF(ISBLANK(B298),"",_xlfn.ISOWEEKNUM('Journal de travail'!$B298))</f>
        <v/>
      </c>
      <c r="B298" s="46"/>
      <c r="C298" s="37"/>
      <c r="D298" s="38"/>
      <c r="E298" s="39"/>
      <c r="F298" s="47"/>
      <c r="G298" s="47"/>
    </row>
    <row r="299" customFormat="false" ht="15.75" hidden="false" customHeight="false" outlineLevel="0" collapsed="false">
      <c r="A299" s="35" t="str">
        <f aca="false">IF(ISBLANK(B299),"",_xlfn.ISOWEEKNUM('Journal de travail'!$B299))</f>
        <v/>
      </c>
      <c r="B299" s="48"/>
      <c r="C299" s="42"/>
      <c r="D299" s="43"/>
      <c r="E299" s="44"/>
      <c r="F299" s="49"/>
      <c r="G299" s="49"/>
    </row>
    <row r="300" customFormat="false" ht="15.75" hidden="false" customHeight="false" outlineLevel="0" collapsed="false">
      <c r="A300" s="35" t="str">
        <f aca="false">IF(ISBLANK(B300),"",_xlfn.ISOWEEKNUM('Journal de travail'!$B300))</f>
        <v/>
      </c>
      <c r="B300" s="46"/>
      <c r="C300" s="37"/>
      <c r="D300" s="38"/>
      <c r="E300" s="39"/>
      <c r="F300" s="47"/>
      <c r="G300" s="47"/>
    </row>
    <row r="301" customFormat="false" ht="15.75" hidden="false" customHeight="false" outlineLevel="0" collapsed="false">
      <c r="A301" s="35" t="str">
        <f aca="false">IF(ISBLANK(B301),"",_xlfn.ISOWEEKNUM('Journal de travail'!$B301))</f>
        <v/>
      </c>
      <c r="B301" s="48"/>
      <c r="C301" s="42"/>
      <c r="D301" s="43"/>
      <c r="E301" s="44"/>
      <c r="F301" s="49"/>
      <c r="G301" s="49"/>
    </row>
    <row r="302" customFormat="false" ht="15.75" hidden="false" customHeight="false" outlineLevel="0" collapsed="false">
      <c r="A302" s="35" t="str">
        <f aca="false">IF(ISBLANK(B302),"",_xlfn.ISOWEEKNUM('Journal de travail'!$B302))</f>
        <v/>
      </c>
      <c r="B302" s="46"/>
      <c r="C302" s="37"/>
      <c r="D302" s="38"/>
      <c r="E302" s="39"/>
      <c r="F302" s="47"/>
      <c r="G302" s="47"/>
    </row>
    <row r="303" customFormat="false" ht="15.75" hidden="false" customHeight="false" outlineLevel="0" collapsed="false">
      <c r="A303" s="35" t="str">
        <f aca="false">IF(ISBLANK(B303),"",_xlfn.ISOWEEKNUM('Journal de travail'!$B303))</f>
        <v/>
      </c>
      <c r="B303" s="48"/>
      <c r="C303" s="42"/>
      <c r="D303" s="43"/>
      <c r="E303" s="44"/>
      <c r="F303" s="49"/>
      <c r="G303" s="49"/>
    </row>
    <row r="304" customFormat="false" ht="15.75" hidden="false" customHeight="false" outlineLevel="0" collapsed="false">
      <c r="A304" s="35" t="str">
        <f aca="false">IF(ISBLANK(B304),"",_xlfn.ISOWEEKNUM('Journal de travail'!$B304))</f>
        <v/>
      </c>
      <c r="B304" s="46"/>
      <c r="C304" s="37"/>
      <c r="D304" s="38"/>
      <c r="E304" s="39"/>
      <c r="F304" s="47"/>
      <c r="G304" s="47"/>
    </row>
    <row r="305" customFormat="false" ht="15.75" hidden="false" customHeight="false" outlineLevel="0" collapsed="false">
      <c r="A305" s="35" t="str">
        <f aca="false">IF(ISBLANK(B305),"",_xlfn.ISOWEEKNUM('Journal de travail'!$B305))</f>
        <v/>
      </c>
      <c r="B305" s="48"/>
      <c r="C305" s="42"/>
      <c r="D305" s="43"/>
      <c r="E305" s="44"/>
      <c r="F305" s="49"/>
      <c r="G305" s="49"/>
    </row>
    <row r="306" customFormat="false" ht="15.75" hidden="false" customHeight="false" outlineLevel="0" collapsed="false">
      <c r="A306" s="35" t="str">
        <f aca="false">IF(ISBLANK(B306),"",_xlfn.ISOWEEKNUM('Journal de travail'!$B306))</f>
        <v/>
      </c>
      <c r="B306" s="46"/>
      <c r="C306" s="37"/>
      <c r="D306" s="38"/>
      <c r="E306" s="39"/>
      <c r="F306" s="47"/>
      <c r="G306" s="47"/>
    </row>
    <row r="307" customFormat="false" ht="15.75" hidden="false" customHeight="false" outlineLevel="0" collapsed="false">
      <c r="A307" s="35" t="str">
        <f aca="false">IF(ISBLANK(B307),"",_xlfn.ISOWEEKNUM('Journal de travail'!$B307))</f>
        <v/>
      </c>
      <c r="B307" s="48"/>
      <c r="C307" s="42"/>
      <c r="D307" s="43"/>
      <c r="E307" s="44"/>
      <c r="F307" s="49"/>
      <c r="G307" s="49"/>
    </row>
    <row r="308" customFormat="false" ht="15.75" hidden="false" customHeight="false" outlineLevel="0" collapsed="false">
      <c r="A308" s="35" t="str">
        <f aca="false">IF(ISBLANK(B308),"",_xlfn.ISOWEEKNUM('Journal de travail'!$B308))</f>
        <v/>
      </c>
      <c r="B308" s="46"/>
      <c r="C308" s="37"/>
      <c r="D308" s="38"/>
      <c r="E308" s="39"/>
      <c r="F308" s="47"/>
      <c r="G308" s="47"/>
    </row>
    <row r="309" customFormat="false" ht="15.75" hidden="false" customHeight="false" outlineLevel="0" collapsed="false">
      <c r="A309" s="35" t="str">
        <f aca="false">IF(ISBLANK(B309),"",_xlfn.ISOWEEKNUM('Journal de travail'!$B309))</f>
        <v/>
      </c>
      <c r="B309" s="48"/>
      <c r="C309" s="42"/>
      <c r="D309" s="43"/>
      <c r="E309" s="44"/>
      <c r="F309" s="49"/>
      <c r="G309" s="49"/>
    </row>
    <row r="310" customFormat="false" ht="15.75" hidden="false" customHeight="false" outlineLevel="0" collapsed="false">
      <c r="A310" s="35" t="str">
        <f aca="false">IF(ISBLANK(B310),"",_xlfn.ISOWEEKNUM('Journal de travail'!$B310))</f>
        <v/>
      </c>
      <c r="B310" s="46"/>
      <c r="C310" s="37"/>
      <c r="D310" s="38"/>
      <c r="E310" s="39"/>
      <c r="F310" s="47"/>
      <c r="G310" s="47"/>
    </row>
    <row r="311" customFormat="false" ht="15.75" hidden="false" customHeight="false" outlineLevel="0" collapsed="false">
      <c r="A311" s="35" t="str">
        <f aca="false">IF(ISBLANK(B311),"",_xlfn.ISOWEEKNUM('Journal de travail'!$B311))</f>
        <v/>
      </c>
      <c r="B311" s="48"/>
      <c r="C311" s="42"/>
      <c r="D311" s="43"/>
      <c r="E311" s="44"/>
      <c r="F311" s="49"/>
      <c r="G311" s="49"/>
    </row>
    <row r="312" customFormat="false" ht="15.75" hidden="false" customHeight="false" outlineLevel="0" collapsed="false">
      <c r="A312" s="35" t="str">
        <f aca="false">IF(ISBLANK(B312),"",_xlfn.ISOWEEKNUM('Journal de travail'!$B312))</f>
        <v/>
      </c>
      <c r="B312" s="46"/>
      <c r="C312" s="37"/>
      <c r="D312" s="38"/>
      <c r="E312" s="39"/>
      <c r="F312" s="47"/>
      <c r="G312" s="47"/>
    </row>
    <row r="313" customFormat="false" ht="15.75" hidden="false" customHeight="false" outlineLevel="0" collapsed="false">
      <c r="A313" s="35" t="str">
        <f aca="false">IF(ISBLANK(B313),"",_xlfn.ISOWEEKNUM('Journal de travail'!$B313))</f>
        <v/>
      </c>
      <c r="B313" s="48"/>
      <c r="C313" s="42"/>
      <c r="D313" s="43"/>
      <c r="E313" s="44"/>
      <c r="F313" s="49"/>
      <c r="G313" s="49"/>
    </row>
    <row r="314" customFormat="false" ht="15.75" hidden="false" customHeight="false" outlineLevel="0" collapsed="false">
      <c r="A314" s="35" t="str">
        <f aca="false">IF(ISBLANK(B314),"",_xlfn.ISOWEEKNUM('Journal de travail'!$B314))</f>
        <v/>
      </c>
      <c r="B314" s="46"/>
      <c r="C314" s="37"/>
      <c r="D314" s="38"/>
      <c r="E314" s="39"/>
      <c r="F314" s="47"/>
      <c r="G314" s="47"/>
    </row>
    <row r="315" customFormat="false" ht="15.75" hidden="false" customHeight="false" outlineLevel="0" collapsed="false">
      <c r="A315" s="35" t="str">
        <f aca="false">IF(ISBLANK(B315),"",_xlfn.ISOWEEKNUM('Journal de travail'!$B315))</f>
        <v/>
      </c>
      <c r="B315" s="48"/>
      <c r="C315" s="42"/>
      <c r="D315" s="43"/>
      <c r="E315" s="44"/>
      <c r="F315" s="49"/>
      <c r="G315" s="49"/>
    </row>
    <row r="316" customFormat="false" ht="15.75" hidden="false" customHeight="false" outlineLevel="0" collapsed="false">
      <c r="A316" s="35" t="str">
        <f aca="false">IF(ISBLANK(B316),"",_xlfn.ISOWEEKNUM('Journal de travail'!$B316))</f>
        <v/>
      </c>
      <c r="B316" s="46"/>
      <c r="C316" s="37"/>
      <c r="D316" s="38"/>
      <c r="E316" s="39"/>
      <c r="F316" s="47"/>
      <c r="G316" s="47"/>
    </row>
    <row r="317" customFormat="false" ht="15.75" hidden="false" customHeight="false" outlineLevel="0" collapsed="false">
      <c r="A317" s="35" t="str">
        <f aca="false">IF(ISBLANK(B317),"",_xlfn.ISOWEEKNUM('Journal de travail'!$B317))</f>
        <v/>
      </c>
      <c r="B317" s="48"/>
      <c r="C317" s="42"/>
      <c r="D317" s="43"/>
      <c r="E317" s="44"/>
      <c r="F317" s="49"/>
      <c r="G317" s="49"/>
    </row>
    <row r="318" customFormat="false" ht="15.75" hidden="false" customHeight="false" outlineLevel="0" collapsed="false">
      <c r="A318" s="35" t="str">
        <f aca="false">IF(ISBLANK(B318),"",_xlfn.ISOWEEKNUM('Journal de travail'!$B318))</f>
        <v/>
      </c>
      <c r="B318" s="46"/>
      <c r="C318" s="37"/>
      <c r="D318" s="38"/>
      <c r="E318" s="39"/>
      <c r="F318" s="47"/>
      <c r="G318" s="47"/>
    </row>
    <row r="319" customFormat="false" ht="15.75" hidden="false" customHeight="false" outlineLevel="0" collapsed="false">
      <c r="A319" s="35" t="str">
        <f aca="false">IF(ISBLANK(B319),"",_xlfn.ISOWEEKNUM('Journal de travail'!$B319))</f>
        <v/>
      </c>
      <c r="B319" s="48"/>
      <c r="C319" s="42"/>
      <c r="D319" s="43"/>
      <c r="E319" s="44"/>
      <c r="F319" s="49"/>
      <c r="G319" s="49"/>
    </row>
    <row r="320" customFormat="false" ht="15.75" hidden="false" customHeight="false" outlineLevel="0" collapsed="false">
      <c r="A320" s="35" t="str">
        <f aca="false">IF(ISBLANK(B320),"",_xlfn.ISOWEEKNUM('Journal de travail'!$B320))</f>
        <v/>
      </c>
      <c r="B320" s="46"/>
      <c r="C320" s="37"/>
      <c r="D320" s="38"/>
      <c r="E320" s="39"/>
      <c r="F320" s="47"/>
      <c r="G320" s="47"/>
    </row>
    <row r="321" customFormat="false" ht="15.75" hidden="false" customHeight="false" outlineLevel="0" collapsed="false">
      <c r="A321" s="35" t="str">
        <f aca="false">IF(ISBLANK(B321),"",_xlfn.ISOWEEKNUM('Journal de travail'!$B321))</f>
        <v/>
      </c>
      <c r="B321" s="48"/>
      <c r="C321" s="42"/>
      <c r="D321" s="43"/>
      <c r="E321" s="44"/>
      <c r="F321" s="49"/>
      <c r="G321" s="49"/>
    </row>
    <row r="322" customFormat="false" ht="15.75" hidden="false" customHeight="false" outlineLevel="0" collapsed="false">
      <c r="A322" s="35" t="str">
        <f aca="false">IF(ISBLANK(B322),"",_xlfn.ISOWEEKNUM('Journal de travail'!$B322))</f>
        <v/>
      </c>
      <c r="B322" s="46"/>
      <c r="C322" s="37"/>
      <c r="D322" s="38"/>
      <c r="E322" s="39"/>
      <c r="F322" s="47"/>
      <c r="G322" s="47"/>
    </row>
    <row r="323" customFormat="false" ht="15.75" hidden="false" customHeight="false" outlineLevel="0" collapsed="false">
      <c r="A323" s="35" t="str">
        <f aca="false">IF(ISBLANK(B323),"",_xlfn.ISOWEEKNUM('Journal de travail'!$B323))</f>
        <v/>
      </c>
      <c r="B323" s="48"/>
      <c r="C323" s="42"/>
      <c r="D323" s="43"/>
      <c r="E323" s="44"/>
      <c r="F323" s="49"/>
      <c r="G323" s="49"/>
    </row>
    <row r="324" customFormat="false" ht="15.75" hidden="false" customHeight="false" outlineLevel="0" collapsed="false">
      <c r="A324" s="35" t="str">
        <f aca="false">IF(ISBLANK(B324),"",_xlfn.ISOWEEKNUM('Journal de travail'!$B324))</f>
        <v/>
      </c>
      <c r="B324" s="46"/>
      <c r="C324" s="37"/>
      <c r="D324" s="38"/>
      <c r="E324" s="39"/>
      <c r="F324" s="47"/>
      <c r="G324" s="47"/>
    </row>
    <row r="325" customFormat="false" ht="15.75" hidden="false" customHeight="false" outlineLevel="0" collapsed="false">
      <c r="A325" s="35" t="str">
        <f aca="false">IF(ISBLANK(B325),"",_xlfn.ISOWEEKNUM('Journal de travail'!$B325))</f>
        <v/>
      </c>
      <c r="B325" s="48"/>
      <c r="C325" s="42"/>
      <c r="D325" s="43"/>
      <c r="E325" s="44"/>
      <c r="F325" s="49"/>
      <c r="G325" s="49"/>
    </row>
    <row r="326" customFormat="false" ht="15.75" hidden="false" customHeight="false" outlineLevel="0" collapsed="false">
      <c r="A326" s="35" t="str">
        <f aca="false">IF(ISBLANK(B326),"",_xlfn.ISOWEEKNUM('Journal de travail'!$B326))</f>
        <v/>
      </c>
      <c r="B326" s="46"/>
      <c r="C326" s="37"/>
      <c r="D326" s="38"/>
      <c r="E326" s="39"/>
      <c r="F326" s="47"/>
      <c r="G326" s="47"/>
    </row>
    <row r="327" customFormat="false" ht="15.75" hidden="false" customHeight="false" outlineLevel="0" collapsed="false">
      <c r="A327" s="35" t="str">
        <f aca="false">IF(ISBLANK(B327),"",_xlfn.ISOWEEKNUM('Journal de travail'!$B327))</f>
        <v/>
      </c>
      <c r="B327" s="48"/>
      <c r="C327" s="42"/>
      <c r="D327" s="43"/>
      <c r="E327" s="44"/>
      <c r="F327" s="49"/>
      <c r="G327" s="49"/>
    </row>
    <row r="328" customFormat="false" ht="15.75" hidden="false" customHeight="false" outlineLevel="0" collapsed="false">
      <c r="A328" s="35" t="str">
        <f aca="false">IF(ISBLANK(B328),"",_xlfn.ISOWEEKNUM('Journal de travail'!$B328))</f>
        <v/>
      </c>
      <c r="B328" s="46"/>
      <c r="C328" s="37"/>
      <c r="D328" s="38"/>
      <c r="E328" s="39"/>
      <c r="F328" s="47"/>
      <c r="G328" s="47"/>
    </row>
    <row r="329" customFormat="false" ht="15.75" hidden="false" customHeight="false" outlineLevel="0" collapsed="false">
      <c r="A329" s="35" t="str">
        <f aca="false">IF(ISBLANK(B329),"",_xlfn.ISOWEEKNUM('Journal de travail'!$B329))</f>
        <v/>
      </c>
      <c r="B329" s="48"/>
      <c r="C329" s="42"/>
      <c r="D329" s="43"/>
      <c r="E329" s="44"/>
      <c r="F329" s="49"/>
      <c r="G329" s="49"/>
    </row>
    <row r="330" customFormat="false" ht="15.75" hidden="false" customHeight="false" outlineLevel="0" collapsed="false">
      <c r="A330" s="35" t="str">
        <f aca="false">IF(ISBLANK(B330),"",_xlfn.ISOWEEKNUM('Journal de travail'!$B330))</f>
        <v/>
      </c>
      <c r="B330" s="46"/>
      <c r="C330" s="37"/>
      <c r="D330" s="38"/>
      <c r="E330" s="39"/>
      <c r="F330" s="47"/>
      <c r="G330" s="47"/>
    </row>
    <row r="331" customFormat="false" ht="15.75" hidden="false" customHeight="false" outlineLevel="0" collapsed="false">
      <c r="A331" s="35" t="str">
        <f aca="false">IF(ISBLANK(B331),"",_xlfn.ISOWEEKNUM('Journal de travail'!$B331))</f>
        <v/>
      </c>
      <c r="B331" s="48"/>
      <c r="C331" s="42"/>
      <c r="D331" s="43"/>
      <c r="E331" s="44"/>
      <c r="F331" s="49"/>
      <c r="G331" s="49"/>
    </row>
    <row r="332" customFormat="false" ht="15.75" hidden="false" customHeight="false" outlineLevel="0" collapsed="false">
      <c r="A332" s="35" t="str">
        <f aca="false">IF(ISBLANK(B332),"",_xlfn.ISOWEEKNUM('Journal de travail'!$B332))</f>
        <v/>
      </c>
      <c r="B332" s="46"/>
      <c r="C332" s="37"/>
      <c r="D332" s="38"/>
      <c r="E332" s="39"/>
      <c r="F332" s="47"/>
      <c r="G332" s="47"/>
    </row>
    <row r="333" customFormat="false" ht="15.75" hidden="false" customHeight="false" outlineLevel="0" collapsed="false">
      <c r="A333" s="35" t="str">
        <f aca="false">IF(ISBLANK(B333),"",_xlfn.ISOWEEKNUM('Journal de travail'!$B333))</f>
        <v/>
      </c>
      <c r="B333" s="48"/>
      <c r="C333" s="42"/>
      <c r="D333" s="43"/>
      <c r="E333" s="44"/>
      <c r="F333" s="49"/>
      <c r="G333" s="49"/>
    </row>
    <row r="334" customFormat="false" ht="15.75" hidden="false" customHeight="false" outlineLevel="0" collapsed="false">
      <c r="A334" s="35" t="str">
        <f aca="false">IF(ISBLANK(B334),"",_xlfn.ISOWEEKNUM('Journal de travail'!$B334))</f>
        <v/>
      </c>
      <c r="B334" s="46"/>
      <c r="C334" s="37"/>
      <c r="D334" s="38"/>
      <c r="E334" s="39"/>
      <c r="F334" s="47"/>
      <c r="G334" s="47"/>
    </row>
    <row r="335" customFormat="false" ht="15.75" hidden="false" customHeight="false" outlineLevel="0" collapsed="false">
      <c r="A335" s="35" t="str">
        <f aca="false">IF(ISBLANK(B335),"",_xlfn.ISOWEEKNUM('Journal de travail'!$B335))</f>
        <v/>
      </c>
      <c r="B335" s="48"/>
      <c r="C335" s="42"/>
      <c r="D335" s="43"/>
      <c r="E335" s="44"/>
      <c r="F335" s="49"/>
      <c r="G335" s="49"/>
    </row>
    <row r="336" customFormat="false" ht="15.75" hidden="false" customHeight="false" outlineLevel="0" collapsed="false">
      <c r="A336" s="35" t="str">
        <f aca="false">IF(ISBLANK(B336),"",_xlfn.ISOWEEKNUM('Journal de travail'!$B336))</f>
        <v/>
      </c>
      <c r="B336" s="46"/>
      <c r="C336" s="37"/>
      <c r="D336" s="38"/>
      <c r="E336" s="39"/>
      <c r="F336" s="47"/>
      <c r="G336" s="47"/>
    </row>
    <row r="337" customFormat="false" ht="15.75" hidden="false" customHeight="false" outlineLevel="0" collapsed="false">
      <c r="A337" s="35" t="str">
        <f aca="false">IF(ISBLANK(B337),"",_xlfn.ISOWEEKNUM('Journal de travail'!$B337))</f>
        <v/>
      </c>
      <c r="B337" s="48"/>
      <c r="C337" s="42"/>
      <c r="D337" s="43"/>
      <c r="E337" s="44"/>
      <c r="F337" s="49"/>
      <c r="G337" s="49"/>
    </row>
    <row r="338" customFormat="false" ht="15.75" hidden="false" customHeight="false" outlineLevel="0" collapsed="false">
      <c r="A338" s="35" t="str">
        <f aca="false">IF(ISBLANK(B338),"",_xlfn.ISOWEEKNUM('Journal de travail'!$B338))</f>
        <v/>
      </c>
      <c r="B338" s="46"/>
      <c r="C338" s="37"/>
      <c r="D338" s="38"/>
      <c r="E338" s="39"/>
      <c r="F338" s="47"/>
      <c r="G338" s="47"/>
    </row>
    <row r="339" customFormat="false" ht="15.75" hidden="false" customHeight="false" outlineLevel="0" collapsed="false">
      <c r="A339" s="35" t="str">
        <f aca="false">IF(ISBLANK(B339),"",_xlfn.ISOWEEKNUM('Journal de travail'!$B339))</f>
        <v/>
      </c>
      <c r="B339" s="48"/>
      <c r="C339" s="42"/>
      <c r="D339" s="43"/>
      <c r="E339" s="44"/>
      <c r="F339" s="49"/>
      <c r="G339" s="49"/>
    </row>
    <row r="340" customFormat="false" ht="15.75" hidden="false" customHeight="false" outlineLevel="0" collapsed="false">
      <c r="A340" s="35" t="str">
        <f aca="false">IF(ISBLANK(B340),"",_xlfn.ISOWEEKNUM('Journal de travail'!$B340))</f>
        <v/>
      </c>
      <c r="B340" s="46"/>
      <c r="C340" s="37"/>
      <c r="D340" s="38"/>
      <c r="E340" s="39"/>
      <c r="F340" s="47"/>
      <c r="G340" s="47"/>
    </row>
    <row r="341" customFormat="false" ht="15.75" hidden="false" customHeight="false" outlineLevel="0" collapsed="false">
      <c r="A341" s="35" t="str">
        <f aca="false">IF(ISBLANK(B341),"",_xlfn.ISOWEEKNUM('Journal de travail'!$B341))</f>
        <v/>
      </c>
      <c r="B341" s="48"/>
      <c r="C341" s="42"/>
      <c r="D341" s="43"/>
      <c r="E341" s="44"/>
      <c r="F341" s="49"/>
      <c r="G341" s="49"/>
    </row>
    <row r="342" customFormat="false" ht="15.75" hidden="false" customHeight="false" outlineLevel="0" collapsed="false">
      <c r="A342" s="35" t="str">
        <f aca="false">IF(ISBLANK(B342),"",_xlfn.ISOWEEKNUM('Journal de travail'!$B342))</f>
        <v/>
      </c>
      <c r="B342" s="46"/>
      <c r="C342" s="37"/>
      <c r="D342" s="38"/>
      <c r="E342" s="39"/>
      <c r="F342" s="47"/>
      <c r="G342" s="47"/>
    </row>
    <row r="343" customFormat="false" ht="15.75" hidden="false" customHeight="false" outlineLevel="0" collapsed="false">
      <c r="A343" s="35" t="str">
        <f aca="false">IF(ISBLANK(B343),"",_xlfn.ISOWEEKNUM('Journal de travail'!$B343))</f>
        <v/>
      </c>
      <c r="B343" s="48"/>
      <c r="C343" s="42"/>
      <c r="D343" s="43"/>
      <c r="E343" s="44"/>
      <c r="F343" s="49"/>
      <c r="G343" s="49"/>
    </row>
    <row r="344" customFormat="false" ht="15.75" hidden="false" customHeight="false" outlineLevel="0" collapsed="false">
      <c r="A344" s="35" t="str">
        <f aca="false">IF(ISBLANK(B344),"",_xlfn.ISOWEEKNUM('Journal de travail'!$B344))</f>
        <v/>
      </c>
      <c r="B344" s="46"/>
      <c r="C344" s="37"/>
      <c r="D344" s="38"/>
      <c r="E344" s="39"/>
      <c r="F344" s="47"/>
      <c r="G344" s="47"/>
    </row>
    <row r="345" customFormat="false" ht="15.75" hidden="false" customHeight="false" outlineLevel="0" collapsed="false">
      <c r="A345" s="35" t="str">
        <f aca="false">IF(ISBLANK(B345),"",_xlfn.ISOWEEKNUM('Journal de travail'!$B345))</f>
        <v/>
      </c>
      <c r="B345" s="48"/>
      <c r="C345" s="42"/>
      <c r="D345" s="43"/>
      <c r="E345" s="44"/>
      <c r="F345" s="49"/>
      <c r="G345" s="49"/>
    </row>
    <row r="346" customFormat="false" ht="15.75" hidden="false" customHeight="false" outlineLevel="0" collapsed="false">
      <c r="A346" s="35" t="str">
        <f aca="false">IF(ISBLANK(B346),"",_xlfn.ISOWEEKNUM('Journal de travail'!$B346))</f>
        <v/>
      </c>
      <c r="B346" s="46"/>
      <c r="C346" s="37"/>
      <c r="D346" s="38"/>
      <c r="E346" s="39"/>
      <c r="F346" s="47"/>
      <c r="G346" s="47"/>
    </row>
    <row r="347" customFormat="false" ht="15.75" hidden="false" customHeight="false" outlineLevel="0" collapsed="false">
      <c r="A347" s="35" t="str">
        <f aca="false">IF(ISBLANK(B347),"",_xlfn.ISOWEEKNUM('Journal de travail'!$B347))</f>
        <v/>
      </c>
      <c r="B347" s="48"/>
      <c r="C347" s="42"/>
      <c r="D347" s="43"/>
      <c r="E347" s="44"/>
      <c r="F347" s="49"/>
      <c r="G347" s="49"/>
    </row>
    <row r="348" customFormat="false" ht="15.75" hidden="false" customHeight="false" outlineLevel="0" collapsed="false">
      <c r="A348" s="35" t="str">
        <f aca="false">IF(ISBLANK(B348),"",_xlfn.ISOWEEKNUM('Journal de travail'!$B348))</f>
        <v/>
      </c>
      <c r="B348" s="46"/>
      <c r="C348" s="37"/>
      <c r="D348" s="38"/>
      <c r="E348" s="39"/>
      <c r="F348" s="47"/>
      <c r="G348" s="47"/>
    </row>
    <row r="349" customFormat="false" ht="15.75" hidden="false" customHeight="false" outlineLevel="0" collapsed="false">
      <c r="A349" s="35" t="str">
        <f aca="false">IF(ISBLANK(B349),"",_xlfn.ISOWEEKNUM('Journal de travail'!$B349))</f>
        <v/>
      </c>
      <c r="B349" s="48"/>
      <c r="C349" s="42"/>
      <c r="D349" s="43"/>
      <c r="E349" s="44"/>
      <c r="F349" s="49"/>
      <c r="G349" s="49"/>
    </row>
    <row r="350" customFormat="false" ht="15.75" hidden="false" customHeight="false" outlineLevel="0" collapsed="false">
      <c r="A350" s="35" t="str">
        <f aca="false">IF(ISBLANK(B350),"",_xlfn.ISOWEEKNUM('Journal de travail'!$B350))</f>
        <v/>
      </c>
      <c r="B350" s="46"/>
      <c r="C350" s="37"/>
      <c r="D350" s="38"/>
      <c r="E350" s="39"/>
      <c r="F350" s="47"/>
      <c r="G350" s="47"/>
    </row>
    <row r="351" customFormat="false" ht="15.75" hidden="false" customHeight="false" outlineLevel="0" collapsed="false">
      <c r="A351" s="35" t="str">
        <f aca="false">IF(ISBLANK(B351),"",_xlfn.ISOWEEKNUM('Journal de travail'!$B351))</f>
        <v/>
      </c>
      <c r="B351" s="48"/>
      <c r="C351" s="42"/>
      <c r="D351" s="43"/>
      <c r="E351" s="44"/>
      <c r="F351" s="49"/>
      <c r="G351" s="49"/>
    </row>
    <row r="352" customFormat="false" ht="15.75" hidden="false" customHeight="false" outlineLevel="0" collapsed="false">
      <c r="A352" s="35" t="str">
        <f aca="false">IF(ISBLANK(B352),"",_xlfn.ISOWEEKNUM('Journal de travail'!$B352))</f>
        <v/>
      </c>
      <c r="B352" s="46"/>
      <c r="C352" s="37"/>
      <c r="D352" s="38"/>
      <c r="E352" s="39"/>
      <c r="F352" s="47"/>
      <c r="G352" s="47"/>
    </row>
    <row r="353" customFormat="false" ht="15.75" hidden="false" customHeight="false" outlineLevel="0" collapsed="false">
      <c r="A353" s="35" t="str">
        <f aca="false">IF(ISBLANK(B353),"",_xlfn.ISOWEEKNUM('Journal de travail'!$B353))</f>
        <v/>
      </c>
      <c r="B353" s="48"/>
      <c r="C353" s="42"/>
      <c r="D353" s="43"/>
      <c r="E353" s="44"/>
      <c r="F353" s="49"/>
      <c r="G353" s="49"/>
    </row>
    <row r="354" customFormat="false" ht="15.75" hidden="false" customHeight="false" outlineLevel="0" collapsed="false">
      <c r="A354" s="35" t="str">
        <f aca="false">IF(ISBLANK(B354),"",_xlfn.ISOWEEKNUM('Journal de travail'!$B354))</f>
        <v/>
      </c>
      <c r="B354" s="46"/>
      <c r="C354" s="37"/>
      <c r="D354" s="38"/>
      <c r="E354" s="39"/>
      <c r="F354" s="47"/>
      <c r="G354" s="47"/>
    </row>
    <row r="355" customFormat="false" ht="15.75" hidden="false" customHeight="false" outlineLevel="0" collapsed="false">
      <c r="A355" s="35" t="str">
        <f aca="false">IF(ISBLANK(B355),"",_xlfn.ISOWEEKNUM('Journal de travail'!$B355))</f>
        <v/>
      </c>
      <c r="B355" s="48"/>
      <c r="C355" s="42"/>
      <c r="D355" s="43"/>
      <c r="E355" s="44"/>
      <c r="F355" s="49"/>
      <c r="G355" s="49"/>
    </row>
    <row r="356" customFormat="false" ht="15.75" hidden="false" customHeight="false" outlineLevel="0" collapsed="false">
      <c r="A356" s="35" t="str">
        <f aca="false">IF(ISBLANK(B356),"",_xlfn.ISOWEEKNUM('Journal de travail'!$B356))</f>
        <v/>
      </c>
      <c r="B356" s="46"/>
      <c r="C356" s="37"/>
      <c r="D356" s="38"/>
      <c r="E356" s="39"/>
      <c r="F356" s="47"/>
      <c r="G356" s="47"/>
    </row>
    <row r="357" customFormat="false" ht="15.75" hidden="false" customHeight="false" outlineLevel="0" collapsed="false">
      <c r="A357" s="35" t="str">
        <f aca="false">IF(ISBLANK(B357),"",_xlfn.ISOWEEKNUM('Journal de travail'!$B357))</f>
        <v/>
      </c>
      <c r="B357" s="48"/>
      <c r="C357" s="42"/>
      <c r="D357" s="43"/>
      <c r="E357" s="44"/>
      <c r="F357" s="49"/>
      <c r="G357" s="49"/>
    </row>
    <row r="358" customFormat="false" ht="15.75" hidden="false" customHeight="false" outlineLevel="0" collapsed="false">
      <c r="A358" s="35" t="str">
        <f aca="false">IF(ISBLANK(B358),"",_xlfn.ISOWEEKNUM('Journal de travail'!$B358))</f>
        <v/>
      </c>
      <c r="B358" s="46"/>
      <c r="C358" s="37"/>
      <c r="D358" s="38"/>
      <c r="E358" s="39"/>
      <c r="F358" s="47"/>
      <c r="G358" s="47"/>
    </row>
    <row r="359" customFormat="false" ht="15.75" hidden="false" customHeight="false" outlineLevel="0" collapsed="false">
      <c r="A359" s="35" t="str">
        <f aca="false">IF(ISBLANK(B359),"",_xlfn.ISOWEEKNUM('Journal de travail'!$B359))</f>
        <v/>
      </c>
      <c r="B359" s="48"/>
      <c r="C359" s="42"/>
      <c r="D359" s="43"/>
      <c r="E359" s="44"/>
      <c r="F359" s="49"/>
      <c r="G359" s="49"/>
    </row>
    <row r="360" customFormat="false" ht="15.75" hidden="false" customHeight="false" outlineLevel="0" collapsed="false">
      <c r="A360" s="35" t="str">
        <f aca="false">IF(ISBLANK(B360),"",_xlfn.ISOWEEKNUM('Journal de travail'!$B360))</f>
        <v/>
      </c>
      <c r="B360" s="46"/>
      <c r="C360" s="37"/>
      <c r="D360" s="38"/>
      <c r="E360" s="39"/>
      <c r="F360" s="47"/>
      <c r="G360" s="47"/>
    </row>
    <row r="361" customFormat="false" ht="15.75" hidden="false" customHeight="false" outlineLevel="0" collapsed="false">
      <c r="A361" s="35" t="str">
        <f aca="false">IF(ISBLANK(B361),"",_xlfn.ISOWEEKNUM('Journal de travail'!$B361))</f>
        <v/>
      </c>
      <c r="B361" s="48"/>
      <c r="C361" s="42"/>
      <c r="D361" s="43"/>
      <c r="E361" s="44"/>
      <c r="F361" s="49"/>
      <c r="G361" s="49"/>
    </row>
    <row r="362" customFormat="false" ht="15.75" hidden="false" customHeight="false" outlineLevel="0" collapsed="false">
      <c r="A362" s="35" t="str">
        <f aca="false">IF(ISBLANK(B362),"",_xlfn.ISOWEEKNUM('Journal de travail'!$B362))</f>
        <v/>
      </c>
      <c r="B362" s="46"/>
      <c r="C362" s="37"/>
      <c r="D362" s="38"/>
      <c r="E362" s="39"/>
      <c r="F362" s="47"/>
      <c r="G362" s="47"/>
    </row>
    <row r="363" customFormat="false" ht="15.75" hidden="false" customHeight="false" outlineLevel="0" collapsed="false">
      <c r="A363" s="35" t="str">
        <f aca="false">IF(ISBLANK(B363),"",_xlfn.ISOWEEKNUM('Journal de travail'!$B363))</f>
        <v/>
      </c>
      <c r="B363" s="48"/>
      <c r="C363" s="42"/>
      <c r="D363" s="43"/>
      <c r="E363" s="44"/>
      <c r="F363" s="49"/>
      <c r="G363" s="49"/>
    </row>
    <row r="364" customFormat="false" ht="15.75" hidden="false" customHeight="false" outlineLevel="0" collapsed="false">
      <c r="A364" s="35" t="str">
        <f aca="false">IF(ISBLANK(B364),"",_xlfn.ISOWEEKNUM('Journal de travail'!$B364))</f>
        <v/>
      </c>
      <c r="B364" s="46"/>
      <c r="C364" s="37"/>
      <c r="D364" s="38"/>
      <c r="E364" s="39"/>
      <c r="F364" s="47"/>
      <c r="G364" s="47"/>
    </row>
    <row r="365" customFormat="false" ht="15.75" hidden="false" customHeight="false" outlineLevel="0" collapsed="false">
      <c r="A365" s="35" t="str">
        <f aca="false">IF(ISBLANK(B365),"",_xlfn.ISOWEEKNUM('Journal de travail'!$B365))</f>
        <v/>
      </c>
      <c r="B365" s="48"/>
      <c r="C365" s="42"/>
      <c r="D365" s="43"/>
      <c r="E365" s="44"/>
      <c r="F365" s="49"/>
      <c r="G365" s="49"/>
    </row>
    <row r="366" customFormat="false" ht="15.75" hidden="false" customHeight="false" outlineLevel="0" collapsed="false">
      <c r="A366" s="35" t="str">
        <f aca="false">IF(ISBLANK(B366),"",_xlfn.ISOWEEKNUM('Journal de travail'!$B366))</f>
        <v/>
      </c>
      <c r="B366" s="46"/>
      <c r="C366" s="37"/>
      <c r="D366" s="38"/>
      <c r="E366" s="39"/>
      <c r="F366" s="47"/>
      <c r="G366" s="47"/>
    </row>
    <row r="367" customFormat="false" ht="15.75" hidden="false" customHeight="false" outlineLevel="0" collapsed="false">
      <c r="A367" s="35" t="str">
        <f aca="false">IF(ISBLANK(B367),"",_xlfn.ISOWEEKNUM('Journal de travail'!$B367))</f>
        <v/>
      </c>
      <c r="B367" s="48"/>
      <c r="C367" s="42"/>
      <c r="D367" s="43"/>
      <c r="E367" s="44"/>
      <c r="F367" s="49"/>
      <c r="G367" s="49"/>
    </row>
    <row r="368" customFormat="false" ht="15.75" hidden="false" customHeight="false" outlineLevel="0" collapsed="false">
      <c r="A368" s="35" t="str">
        <f aca="false">IF(ISBLANK(B368),"",_xlfn.ISOWEEKNUM('Journal de travail'!$B368))</f>
        <v/>
      </c>
      <c r="B368" s="46"/>
      <c r="C368" s="37"/>
      <c r="D368" s="38"/>
      <c r="E368" s="39"/>
      <c r="F368" s="47"/>
      <c r="G368" s="47"/>
    </row>
    <row r="369" customFormat="false" ht="15.75" hidden="false" customHeight="false" outlineLevel="0" collapsed="false">
      <c r="A369" s="35" t="str">
        <f aca="false">IF(ISBLANK(B369),"",_xlfn.ISOWEEKNUM('Journal de travail'!$B369))</f>
        <v/>
      </c>
      <c r="B369" s="48"/>
      <c r="C369" s="42"/>
      <c r="D369" s="43"/>
      <c r="E369" s="44"/>
      <c r="F369" s="49"/>
      <c r="G369" s="49"/>
    </row>
    <row r="370" customFormat="false" ht="15.75" hidden="false" customHeight="false" outlineLevel="0" collapsed="false">
      <c r="A370" s="35" t="str">
        <f aca="false">IF(ISBLANK(B370),"",_xlfn.ISOWEEKNUM('Journal de travail'!$B370))</f>
        <v/>
      </c>
      <c r="B370" s="46"/>
      <c r="C370" s="37"/>
      <c r="D370" s="38"/>
      <c r="E370" s="39"/>
      <c r="F370" s="47"/>
      <c r="G370" s="47"/>
    </row>
    <row r="371" customFormat="false" ht="15.75" hidden="false" customHeight="false" outlineLevel="0" collapsed="false">
      <c r="A371" s="35" t="str">
        <f aca="false">IF(ISBLANK(B371),"",_xlfn.ISOWEEKNUM('Journal de travail'!$B371))</f>
        <v/>
      </c>
      <c r="B371" s="48"/>
      <c r="C371" s="42"/>
      <c r="D371" s="43"/>
      <c r="E371" s="44"/>
      <c r="F371" s="49"/>
      <c r="G371" s="49"/>
    </row>
    <row r="372" customFormat="false" ht="15.75" hidden="false" customHeight="false" outlineLevel="0" collapsed="false">
      <c r="A372" s="35" t="str">
        <f aca="false">IF(ISBLANK(B372),"",_xlfn.ISOWEEKNUM('Journal de travail'!$B372))</f>
        <v/>
      </c>
      <c r="B372" s="46"/>
      <c r="C372" s="37"/>
      <c r="D372" s="38"/>
      <c r="E372" s="39"/>
      <c r="F372" s="47"/>
      <c r="G372" s="47"/>
    </row>
    <row r="373" customFormat="false" ht="15.75" hidden="false" customHeight="false" outlineLevel="0" collapsed="false">
      <c r="A373" s="35" t="str">
        <f aca="false">IF(ISBLANK(B373),"",_xlfn.ISOWEEKNUM('Journal de travail'!$B373))</f>
        <v/>
      </c>
      <c r="B373" s="48"/>
      <c r="C373" s="42"/>
      <c r="D373" s="43"/>
      <c r="E373" s="44"/>
      <c r="F373" s="49"/>
      <c r="G373" s="49"/>
    </row>
    <row r="374" customFormat="false" ht="15.75" hidden="false" customHeight="false" outlineLevel="0" collapsed="false">
      <c r="A374" s="35" t="str">
        <f aca="false">IF(ISBLANK(B374),"",_xlfn.ISOWEEKNUM('Journal de travail'!$B374))</f>
        <v/>
      </c>
      <c r="B374" s="46"/>
      <c r="C374" s="37"/>
      <c r="D374" s="38"/>
      <c r="E374" s="39"/>
      <c r="F374" s="47"/>
      <c r="G374" s="47"/>
    </row>
    <row r="375" customFormat="false" ht="15.75" hidden="false" customHeight="false" outlineLevel="0" collapsed="false">
      <c r="A375" s="35" t="str">
        <f aca="false">IF(ISBLANK(B375),"",_xlfn.ISOWEEKNUM('Journal de travail'!$B375))</f>
        <v/>
      </c>
      <c r="B375" s="48"/>
      <c r="C375" s="42"/>
      <c r="D375" s="43"/>
      <c r="E375" s="44"/>
      <c r="F375" s="49"/>
      <c r="G375" s="49"/>
    </row>
    <row r="376" customFormat="false" ht="15.75" hidden="false" customHeight="false" outlineLevel="0" collapsed="false">
      <c r="A376" s="35" t="str">
        <f aca="false">IF(ISBLANK(B376),"",_xlfn.ISOWEEKNUM('Journal de travail'!$B376))</f>
        <v/>
      </c>
      <c r="B376" s="46"/>
      <c r="C376" s="37"/>
      <c r="D376" s="38"/>
      <c r="E376" s="39"/>
      <c r="F376" s="47"/>
      <c r="G376" s="47"/>
    </row>
    <row r="377" customFormat="false" ht="15.75" hidden="false" customHeight="false" outlineLevel="0" collapsed="false">
      <c r="A377" s="35" t="str">
        <f aca="false">IF(ISBLANK(B377),"",_xlfn.ISOWEEKNUM('Journal de travail'!$B377))</f>
        <v/>
      </c>
      <c r="B377" s="48"/>
      <c r="C377" s="42"/>
      <c r="D377" s="43"/>
      <c r="E377" s="44"/>
      <c r="F377" s="49"/>
      <c r="G377" s="49"/>
    </row>
    <row r="378" customFormat="false" ht="15.75" hidden="false" customHeight="false" outlineLevel="0" collapsed="false">
      <c r="A378" s="35" t="str">
        <f aca="false">IF(ISBLANK(B378),"",_xlfn.ISOWEEKNUM('Journal de travail'!$B378))</f>
        <v/>
      </c>
      <c r="B378" s="46"/>
      <c r="C378" s="37"/>
      <c r="D378" s="38"/>
      <c r="E378" s="39"/>
      <c r="F378" s="47"/>
      <c r="G378" s="47"/>
    </row>
    <row r="379" customFormat="false" ht="15.75" hidden="false" customHeight="false" outlineLevel="0" collapsed="false">
      <c r="A379" s="35" t="str">
        <f aca="false">IF(ISBLANK(B379),"",_xlfn.ISOWEEKNUM('Journal de travail'!$B379))</f>
        <v/>
      </c>
      <c r="B379" s="48"/>
      <c r="C379" s="42"/>
      <c r="D379" s="43"/>
      <c r="E379" s="44"/>
      <c r="F379" s="49"/>
      <c r="G379" s="49"/>
    </row>
    <row r="380" customFormat="false" ht="15.75" hidden="false" customHeight="false" outlineLevel="0" collapsed="false">
      <c r="A380" s="35" t="str">
        <f aca="false">IF(ISBLANK(B380),"",_xlfn.ISOWEEKNUM('Journal de travail'!$B380))</f>
        <v/>
      </c>
      <c r="B380" s="46"/>
      <c r="C380" s="37"/>
      <c r="D380" s="38"/>
      <c r="E380" s="39"/>
      <c r="F380" s="47"/>
      <c r="G380" s="47"/>
    </row>
    <row r="381" customFormat="false" ht="15.75" hidden="false" customHeight="false" outlineLevel="0" collapsed="false">
      <c r="A381" s="35" t="str">
        <f aca="false">IF(ISBLANK(B381),"",_xlfn.ISOWEEKNUM('Journal de travail'!$B381))</f>
        <v/>
      </c>
      <c r="B381" s="48"/>
      <c r="C381" s="42"/>
      <c r="D381" s="43"/>
      <c r="E381" s="44"/>
      <c r="F381" s="49"/>
      <c r="G381" s="49"/>
    </row>
    <row r="382" customFormat="false" ht="15.75" hidden="false" customHeight="false" outlineLevel="0" collapsed="false">
      <c r="A382" s="35" t="str">
        <f aca="false">IF(ISBLANK(B382),"",_xlfn.ISOWEEKNUM('Journal de travail'!$B382))</f>
        <v/>
      </c>
      <c r="B382" s="46"/>
      <c r="C382" s="37"/>
      <c r="D382" s="38"/>
      <c r="E382" s="39"/>
      <c r="F382" s="47"/>
      <c r="G382" s="47"/>
    </row>
    <row r="383" customFormat="false" ht="15.75" hidden="false" customHeight="false" outlineLevel="0" collapsed="false">
      <c r="A383" s="35" t="str">
        <f aca="false">IF(ISBLANK(B383),"",_xlfn.ISOWEEKNUM('Journal de travail'!$B383))</f>
        <v/>
      </c>
      <c r="B383" s="48"/>
      <c r="C383" s="42"/>
      <c r="D383" s="43"/>
      <c r="E383" s="44"/>
      <c r="F383" s="49"/>
      <c r="G383" s="49"/>
    </row>
    <row r="384" customFormat="false" ht="15.75" hidden="false" customHeight="false" outlineLevel="0" collapsed="false">
      <c r="A384" s="35" t="str">
        <f aca="false">IF(ISBLANK(B384),"",_xlfn.ISOWEEKNUM('Journal de travail'!$B384))</f>
        <v/>
      </c>
      <c r="B384" s="46"/>
      <c r="C384" s="37"/>
      <c r="D384" s="38"/>
      <c r="E384" s="39"/>
      <c r="F384" s="47"/>
      <c r="G384" s="47"/>
    </row>
    <row r="385" customFormat="false" ht="15.75" hidden="false" customHeight="false" outlineLevel="0" collapsed="false">
      <c r="A385" s="35" t="str">
        <f aca="false">IF(ISBLANK(B385),"",_xlfn.ISOWEEKNUM('Journal de travail'!$B385))</f>
        <v/>
      </c>
      <c r="B385" s="48"/>
      <c r="C385" s="42"/>
      <c r="D385" s="43"/>
      <c r="E385" s="44"/>
      <c r="F385" s="49"/>
      <c r="G385" s="49"/>
    </row>
    <row r="386" customFormat="false" ht="15.75" hidden="false" customHeight="false" outlineLevel="0" collapsed="false">
      <c r="A386" s="35" t="str">
        <f aca="false">IF(ISBLANK(B386),"",_xlfn.ISOWEEKNUM('Journal de travail'!$B386))</f>
        <v/>
      </c>
      <c r="B386" s="46"/>
      <c r="C386" s="37"/>
      <c r="D386" s="38"/>
      <c r="E386" s="39"/>
      <c r="F386" s="47"/>
      <c r="G386" s="47"/>
    </row>
    <row r="387" customFormat="false" ht="15.75" hidden="false" customHeight="false" outlineLevel="0" collapsed="false">
      <c r="A387" s="35" t="str">
        <f aca="false">IF(ISBLANK(B387),"",_xlfn.ISOWEEKNUM('Journal de travail'!$B387))</f>
        <v/>
      </c>
      <c r="B387" s="48"/>
      <c r="C387" s="42"/>
      <c r="D387" s="43"/>
      <c r="E387" s="44"/>
      <c r="F387" s="49"/>
      <c r="G387" s="49"/>
    </row>
    <row r="388" customFormat="false" ht="15.75" hidden="false" customHeight="false" outlineLevel="0" collapsed="false">
      <c r="A388" s="35" t="str">
        <f aca="false">IF(ISBLANK(B388),"",_xlfn.ISOWEEKNUM('Journal de travail'!$B388))</f>
        <v/>
      </c>
      <c r="B388" s="46"/>
      <c r="C388" s="37"/>
      <c r="D388" s="38"/>
      <c r="E388" s="39"/>
      <c r="F388" s="47"/>
      <c r="G388" s="47"/>
    </row>
    <row r="389" customFormat="false" ht="15.75" hidden="false" customHeight="false" outlineLevel="0" collapsed="false">
      <c r="A389" s="35" t="str">
        <f aca="false">IF(ISBLANK(B389),"",_xlfn.ISOWEEKNUM('Journal de travail'!$B389))</f>
        <v/>
      </c>
      <c r="B389" s="48"/>
      <c r="C389" s="42"/>
      <c r="D389" s="43"/>
      <c r="E389" s="44"/>
      <c r="F389" s="49"/>
      <c r="G389" s="49"/>
    </row>
    <row r="390" customFormat="false" ht="15.75" hidden="false" customHeight="false" outlineLevel="0" collapsed="false">
      <c r="A390" s="35" t="str">
        <f aca="false">IF(ISBLANK(B390),"",_xlfn.ISOWEEKNUM('Journal de travail'!$B390))</f>
        <v/>
      </c>
      <c r="B390" s="46"/>
      <c r="C390" s="37"/>
      <c r="D390" s="38"/>
      <c r="E390" s="39"/>
      <c r="F390" s="47"/>
      <c r="G390" s="47"/>
    </row>
    <row r="391" customFormat="false" ht="15.75" hidden="false" customHeight="false" outlineLevel="0" collapsed="false">
      <c r="A391" s="35" t="str">
        <f aca="false">IF(ISBLANK(B391),"",_xlfn.ISOWEEKNUM('Journal de travail'!$B391))</f>
        <v/>
      </c>
      <c r="B391" s="48"/>
      <c r="C391" s="42"/>
      <c r="D391" s="43"/>
      <c r="E391" s="44"/>
      <c r="F391" s="49"/>
      <c r="G391" s="49"/>
    </row>
    <row r="392" customFormat="false" ht="15.75" hidden="false" customHeight="false" outlineLevel="0" collapsed="false">
      <c r="A392" s="35" t="str">
        <f aca="false">IF(ISBLANK(B392),"",_xlfn.ISOWEEKNUM('Journal de travail'!$B392))</f>
        <v/>
      </c>
      <c r="B392" s="46"/>
      <c r="C392" s="37"/>
      <c r="D392" s="38"/>
      <c r="E392" s="39"/>
      <c r="F392" s="47"/>
      <c r="G392" s="47"/>
    </row>
    <row r="393" customFormat="false" ht="15.75" hidden="false" customHeight="false" outlineLevel="0" collapsed="false">
      <c r="A393" s="35" t="str">
        <f aca="false">IF(ISBLANK(B393),"",_xlfn.ISOWEEKNUM('Journal de travail'!$B393))</f>
        <v/>
      </c>
      <c r="B393" s="48"/>
      <c r="C393" s="42"/>
      <c r="D393" s="43"/>
      <c r="E393" s="44"/>
      <c r="F393" s="49"/>
      <c r="G393" s="49"/>
    </row>
    <row r="394" customFormat="false" ht="15.75" hidden="false" customHeight="false" outlineLevel="0" collapsed="false">
      <c r="A394" s="35" t="str">
        <f aca="false">IF(ISBLANK(B394),"",_xlfn.ISOWEEKNUM('Journal de travail'!$B394))</f>
        <v/>
      </c>
      <c r="B394" s="46"/>
      <c r="C394" s="37"/>
      <c r="D394" s="38"/>
      <c r="E394" s="39"/>
      <c r="F394" s="47"/>
      <c r="G394" s="47"/>
    </row>
    <row r="395" customFormat="false" ht="15.75" hidden="false" customHeight="false" outlineLevel="0" collapsed="false">
      <c r="A395" s="35" t="str">
        <f aca="false">IF(ISBLANK(B395),"",_xlfn.ISOWEEKNUM('Journal de travail'!$B395))</f>
        <v/>
      </c>
      <c r="B395" s="48"/>
      <c r="C395" s="42"/>
      <c r="D395" s="43"/>
      <c r="E395" s="44"/>
      <c r="F395" s="49"/>
      <c r="G395" s="49"/>
    </row>
    <row r="396" customFormat="false" ht="15.75" hidden="false" customHeight="false" outlineLevel="0" collapsed="false">
      <c r="A396" s="35" t="str">
        <f aca="false">IF(ISBLANK(B396),"",_xlfn.ISOWEEKNUM('Journal de travail'!$B396))</f>
        <v/>
      </c>
      <c r="B396" s="46"/>
      <c r="C396" s="37"/>
      <c r="D396" s="38"/>
      <c r="E396" s="39"/>
      <c r="F396" s="47"/>
      <c r="G396" s="47"/>
    </row>
    <row r="397" customFormat="false" ht="15.75" hidden="false" customHeight="false" outlineLevel="0" collapsed="false">
      <c r="A397" s="35" t="str">
        <f aca="false">IF(ISBLANK(B397),"",_xlfn.ISOWEEKNUM('Journal de travail'!$B397))</f>
        <v/>
      </c>
      <c r="B397" s="48"/>
      <c r="C397" s="42"/>
      <c r="D397" s="43"/>
      <c r="E397" s="44"/>
      <c r="F397" s="49"/>
      <c r="G397" s="49"/>
    </row>
    <row r="398" customFormat="false" ht="15.75" hidden="false" customHeight="false" outlineLevel="0" collapsed="false">
      <c r="A398" s="35" t="str">
        <f aca="false">IF(ISBLANK(B398),"",_xlfn.ISOWEEKNUM('Journal de travail'!$B398))</f>
        <v/>
      </c>
      <c r="B398" s="46"/>
      <c r="C398" s="37"/>
      <c r="D398" s="38"/>
      <c r="E398" s="39"/>
      <c r="F398" s="47"/>
      <c r="G398" s="47"/>
    </row>
    <row r="399" customFormat="false" ht="15.75" hidden="false" customHeight="false" outlineLevel="0" collapsed="false">
      <c r="A399" s="35" t="str">
        <f aca="false">IF(ISBLANK(B399),"",_xlfn.ISOWEEKNUM('Journal de travail'!$B399))</f>
        <v/>
      </c>
      <c r="B399" s="48"/>
      <c r="C399" s="42"/>
      <c r="D399" s="43"/>
      <c r="E399" s="44"/>
      <c r="F399" s="49"/>
      <c r="G399" s="49"/>
    </row>
    <row r="400" customFormat="false" ht="15.75" hidden="false" customHeight="false" outlineLevel="0" collapsed="false">
      <c r="A400" s="35" t="str">
        <f aca="false">IF(ISBLANK(B400),"",_xlfn.ISOWEEKNUM('Journal de travail'!$B400))</f>
        <v/>
      </c>
      <c r="B400" s="46"/>
      <c r="C400" s="37"/>
      <c r="D400" s="38"/>
      <c r="E400" s="39"/>
      <c r="F400" s="47"/>
      <c r="G400" s="47"/>
    </row>
    <row r="401" customFormat="false" ht="15.75" hidden="false" customHeight="false" outlineLevel="0" collapsed="false">
      <c r="A401" s="35" t="str">
        <f aca="false">IF(ISBLANK(B401),"",_xlfn.ISOWEEKNUM('Journal de travail'!$B401))</f>
        <v/>
      </c>
      <c r="B401" s="48"/>
      <c r="C401" s="42"/>
      <c r="D401" s="43"/>
      <c r="E401" s="44"/>
      <c r="F401" s="49"/>
      <c r="G401" s="49"/>
    </row>
    <row r="402" customFormat="false" ht="15.75" hidden="false" customHeight="false" outlineLevel="0" collapsed="false">
      <c r="A402" s="35" t="str">
        <f aca="false">IF(ISBLANK(B402),"",_xlfn.ISOWEEKNUM('Journal de travail'!$B402))</f>
        <v/>
      </c>
      <c r="B402" s="46"/>
      <c r="C402" s="37"/>
      <c r="D402" s="38"/>
      <c r="E402" s="39"/>
      <c r="F402" s="47"/>
      <c r="G402" s="47"/>
    </row>
    <row r="403" customFormat="false" ht="15.75" hidden="false" customHeight="false" outlineLevel="0" collapsed="false">
      <c r="A403" s="35" t="str">
        <f aca="false">IF(ISBLANK(B403),"",_xlfn.ISOWEEKNUM('Journal de travail'!$B403))</f>
        <v/>
      </c>
      <c r="B403" s="48"/>
      <c r="C403" s="42"/>
      <c r="D403" s="43"/>
      <c r="E403" s="44"/>
      <c r="F403" s="49"/>
      <c r="G403" s="49"/>
    </row>
    <row r="404" customFormat="false" ht="15.75" hidden="false" customHeight="false" outlineLevel="0" collapsed="false">
      <c r="A404" s="35" t="str">
        <f aca="false">IF(ISBLANK(B404),"",_xlfn.ISOWEEKNUM('Journal de travail'!$B404))</f>
        <v/>
      </c>
      <c r="B404" s="46"/>
      <c r="C404" s="37"/>
      <c r="D404" s="38"/>
      <c r="E404" s="39"/>
      <c r="F404" s="47"/>
      <c r="G404" s="47"/>
    </row>
    <row r="405" customFormat="false" ht="15.75" hidden="false" customHeight="false" outlineLevel="0" collapsed="false">
      <c r="A405" s="35" t="str">
        <f aca="false">IF(ISBLANK(B405),"",_xlfn.ISOWEEKNUM('Journal de travail'!$B405))</f>
        <v/>
      </c>
      <c r="B405" s="48"/>
      <c r="C405" s="42"/>
      <c r="D405" s="43"/>
      <c r="E405" s="44"/>
      <c r="F405" s="49"/>
      <c r="G405" s="49"/>
    </row>
    <row r="406" customFormat="false" ht="15.75" hidden="false" customHeight="false" outlineLevel="0" collapsed="false">
      <c r="A406" s="35" t="str">
        <f aca="false">IF(ISBLANK(B406),"",_xlfn.ISOWEEKNUM('Journal de travail'!$B406))</f>
        <v/>
      </c>
      <c r="B406" s="46"/>
      <c r="C406" s="37"/>
      <c r="D406" s="38"/>
      <c r="E406" s="39"/>
      <c r="F406" s="47"/>
      <c r="G406" s="47"/>
    </row>
    <row r="407" customFormat="false" ht="15.75" hidden="false" customHeight="false" outlineLevel="0" collapsed="false">
      <c r="A407" s="35" t="str">
        <f aca="false">IF(ISBLANK(B407),"",_xlfn.ISOWEEKNUM('Journal de travail'!$B407))</f>
        <v/>
      </c>
      <c r="B407" s="48"/>
      <c r="C407" s="42"/>
      <c r="D407" s="43"/>
      <c r="E407" s="44"/>
      <c r="F407" s="49"/>
      <c r="G407" s="49"/>
    </row>
    <row r="408" customFormat="false" ht="15.75" hidden="false" customHeight="false" outlineLevel="0" collapsed="false">
      <c r="A408" s="35" t="str">
        <f aca="false">IF(ISBLANK(B408),"",_xlfn.ISOWEEKNUM('Journal de travail'!$B408))</f>
        <v/>
      </c>
      <c r="B408" s="46"/>
      <c r="C408" s="37"/>
      <c r="D408" s="38"/>
      <c r="E408" s="39"/>
      <c r="F408" s="47"/>
      <c r="G408" s="47"/>
    </row>
    <row r="409" customFormat="false" ht="15.75" hidden="false" customHeight="false" outlineLevel="0" collapsed="false">
      <c r="A409" s="35" t="str">
        <f aca="false">IF(ISBLANK(B409),"",_xlfn.ISOWEEKNUM('Journal de travail'!$B409))</f>
        <v/>
      </c>
      <c r="B409" s="48"/>
      <c r="C409" s="42"/>
      <c r="D409" s="43"/>
      <c r="E409" s="44"/>
      <c r="F409" s="49"/>
      <c r="G409" s="49"/>
    </row>
    <row r="410" customFormat="false" ht="15.75" hidden="false" customHeight="false" outlineLevel="0" collapsed="false">
      <c r="A410" s="35" t="str">
        <f aca="false">IF(ISBLANK(B410),"",_xlfn.ISOWEEKNUM('Journal de travail'!$B410))</f>
        <v/>
      </c>
      <c r="B410" s="46"/>
      <c r="C410" s="37"/>
      <c r="D410" s="38"/>
      <c r="E410" s="39"/>
      <c r="F410" s="47"/>
      <c r="G410" s="47"/>
    </row>
    <row r="411" customFormat="false" ht="15.75" hidden="false" customHeight="false" outlineLevel="0" collapsed="false">
      <c r="A411" s="35" t="str">
        <f aca="false">IF(ISBLANK(B411),"",_xlfn.ISOWEEKNUM('Journal de travail'!$B411))</f>
        <v/>
      </c>
      <c r="B411" s="48"/>
      <c r="C411" s="42"/>
      <c r="D411" s="43"/>
      <c r="E411" s="44"/>
      <c r="F411" s="49"/>
      <c r="G411" s="49"/>
    </row>
    <row r="412" customFormat="false" ht="15.75" hidden="false" customHeight="false" outlineLevel="0" collapsed="false">
      <c r="A412" s="35" t="str">
        <f aca="false">IF(ISBLANK(B412),"",_xlfn.ISOWEEKNUM('Journal de travail'!$B412))</f>
        <v/>
      </c>
      <c r="B412" s="46"/>
      <c r="C412" s="37"/>
      <c r="D412" s="38"/>
      <c r="E412" s="39"/>
      <c r="F412" s="47"/>
      <c r="G412" s="47"/>
    </row>
    <row r="413" customFormat="false" ht="15.75" hidden="false" customHeight="false" outlineLevel="0" collapsed="false">
      <c r="A413" s="35" t="str">
        <f aca="false">IF(ISBLANK(B413),"",_xlfn.ISOWEEKNUM('Journal de travail'!$B413))</f>
        <v/>
      </c>
      <c r="B413" s="48"/>
      <c r="C413" s="42"/>
      <c r="D413" s="43"/>
      <c r="E413" s="44"/>
      <c r="F413" s="49"/>
      <c r="G413" s="49"/>
    </row>
    <row r="414" customFormat="false" ht="15.75" hidden="false" customHeight="false" outlineLevel="0" collapsed="false">
      <c r="A414" s="35" t="str">
        <f aca="false">IF(ISBLANK(B414),"",_xlfn.ISOWEEKNUM('Journal de travail'!$B414))</f>
        <v/>
      </c>
      <c r="B414" s="46"/>
      <c r="C414" s="37"/>
      <c r="D414" s="38"/>
      <c r="E414" s="39"/>
      <c r="F414" s="47"/>
      <c r="G414" s="47"/>
    </row>
    <row r="415" customFormat="false" ht="15.75" hidden="false" customHeight="false" outlineLevel="0" collapsed="false">
      <c r="A415" s="35" t="str">
        <f aca="false">IF(ISBLANK(B415),"",_xlfn.ISOWEEKNUM('Journal de travail'!$B415))</f>
        <v/>
      </c>
      <c r="B415" s="48"/>
      <c r="C415" s="42"/>
      <c r="D415" s="43"/>
      <c r="E415" s="44"/>
      <c r="F415" s="49"/>
      <c r="G415" s="49"/>
    </row>
    <row r="416" customFormat="false" ht="15.75" hidden="false" customHeight="false" outlineLevel="0" collapsed="false">
      <c r="A416" s="35" t="str">
        <f aca="false">IF(ISBLANK(B416),"",_xlfn.ISOWEEKNUM('Journal de travail'!$B416))</f>
        <v/>
      </c>
      <c r="B416" s="46"/>
      <c r="C416" s="37"/>
      <c r="D416" s="38"/>
      <c r="E416" s="39"/>
      <c r="F416" s="47"/>
      <c r="G416" s="47"/>
    </row>
    <row r="417" customFormat="false" ht="15.75" hidden="false" customHeight="false" outlineLevel="0" collapsed="false">
      <c r="A417" s="35" t="str">
        <f aca="false">IF(ISBLANK(B417),"",_xlfn.ISOWEEKNUM('Journal de travail'!$B417))</f>
        <v/>
      </c>
      <c r="B417" s="48"/>
      <c r="C417" s="42"/>
      <c r="D417" s="43"/>
      <c r="E417" s="44"/>
      <c r="F417" s="49"/>
      <c r="G417" s="49"/>
    </row>
    <row r="418" customFormat="false" ht="15.75" hidden="false" customHeight="false" outlineLevel="0" collapsed="false">
      <c r="A418" s="35" t="str">
        <f aca="false">IF(ISBLANK(B418),"",_xlfn.ISOWEEKNUM('Journal de travail'!$B418))</f>
        <v/>
      </c>
      <c r="B418" s="46"/>
      <c r="C418" s="37"/>
      <c r="D418" s="38"/>
      <c r="E418" s="39"/>
      <c r="F418" s="47"/>
      <c r="G418" s="47"/>
    </row>
    <row r="419" customFormat="false" ht="15.75" hidden="false" customHeight="false" outlineLevel="0" collapsed="false">
      <c r="A419" s="35" t="str">
        <f aca="false">IF(ISBLANK(B419),"",_xlfn.ISOWEEKNUM('Journal de travail'!$B419))</f>
        <v/>
      </c>
      <c r="B419" s="48"/>
      <c r="C419" s="42"/>
      <c r="D419" s="43"/>
      <c r="E419" s="44"/>
      <c r="F419" s="49"/>
      <c r="G419" s="49"/>
    </row>
    <row r="420" customFormat="false" ht="15.75" hidden="false" customHeight="false" outlineLevel="0" collapsed="false">
      <c r="A420" s="35" t="str">
        <f aca="false">IF(ISBLANK(B420),"",_xlfn.ISOWEEKNUM('Journal de travail'!$B420))</f>
        <v/>
      </c>
      <c r="B420" s="46"/>
      <c r="C420" s="37"/>
      <c r="D420" s="38"/>
      <c r="E420" s="39"/>
      <c r="F420" s="47"/>
      <c r="G420" s="47"/>
    </row>
    <row r="421" customFormat="false" ht="15.75" hidden="false" customHeight="false" outlineLevel="0" collapsed="false">
      <c r="A421" s="35" t="str">
        <f aca="false">IF(ISBLANK(B421),"",_xlfn.ISOWEEKNUM('Journal de travail'!$B421))</f>
        <v/>
      </c>
      <c r="B421" s="48"/>
      <c r="C421" s="42"/>
      <c r="D421" s="43"/>
      <c r="E421" s="44"/>
      <c r="F421" s="49"/>
      <c r="G421" s="49"/>
    </row>
    <row r="422" customFormat="false" ht="15.75" hidden="false" customHeight="false" outlineLevel="0" collapsed="false">
      <c r="A422" s="35" t="str">
        <f aca="false">IF(ISBLANK(B422),"",_xlfn.ISOWEEKNUM('Journal de travail'!$B422))</f>
        <v/>
      </c>
      <c r="B422" s="46"/>
      <c r="C422" s="37"/>
      <c r="D422" s="38"/>
      <c r="E422" s="39"/>
      <c r="F422" s="47"/>
      <c r="G422" s="47"/>
    </row>
    <row r="423" customFormat="false" ht="15.75" hidden="false" customHeight="false" outlineLevel="0" collapsed="false">
      <c r="A423" s="35" t="str">
        <f aca="false">IF(ISBLANK(B423),"",_xlfn.ISOWEEKNUM('Journal de travail'!$B423))</f>
        <v/>
      </c>
      <c r="B423" s="48"/>
      <c r="C423" s="42"/>
      <c r="D423" s="43"/>
      <c r="E423" s="44"/>
      <c r="F423" s="49"/>
      <c r="G423" s="49"/>
    </row>
    <row r="424" customFormat="false" ht="15.75" hidden="false" customHeight="false" outlineLevel="0" collapsed="false">
      <c r="A424" s="35" t="str">
        <f aca="false">IF(ISBLANK(B424),"",_xlfn.ISOWEEKNUM('Journal de travail'!$B424))</f>
        <v/>
      </c>
      <c r="B424" s="46"/>
      <c r="C424" s="37"/>
      <c r="D424" s="38"/>
      <c r="E424" s="39"/>
      <c r="F424" s="47"/>
      <c r="G424" s="47"/>
    </row>
    <row r="425" customFormat="false" ht="15.75" hidden="false" customHeight="false" outlineLevel="0" collapsed="false">
      <c r="A425" s="35" t="str">
        <f aca="false">IF(ISBLANK(B425),"",_xlfn.ISOWEEKNUM('Journal de travail'!$B425))</f>
        <v/>
      </c>
      <c r="B425" s="48"/>
      <c r="C425" s="42"/>
      <c r="D425" s="43"/>
      <c r="E425" s="44"/>
      <c r="F425" s="49"/>
      <c r="G425" s="49"/>
    </row>
    <row r="426" customFormat="false" ht="15.75" hidden="false" customHeight="false" outlineLevel="0" collapsed="false">
      <c r="A426" s="35" t="str">
        <f aca="false">IF(ISBLANK(B426),"",_xlfn.ISOWEEKNUM('Journal de travail'!$B426))</f>
        <v/>
      </c>
      <c r="B426" s="46"/>
      <c r="C426" s="37"/>
      <c r="D426" s="38"/>
      <c r="E426" s="39"/>
      <c r="F426" s="47"/>
      <c r="G426" s="47"/>
    </row>
    <row r="427" customFormat="false" ht="15.75" hidden="false" customHeight="false" outlineLevel="0" collapsed="false">
      <c r="A427" s="35" t="str">
        <f aca="false">IF(ISBLANK(B427),"",_xlfn.ISOWEEKNUM('Journal de travail'!$B427))</f>
        <v/>
      </c>
      <c r="B427" s="48"/>
      <c r="C427" s="42"/>
      <c r="D427" s="43"/>
      <c r="E427" s="44"/>
      <c r="F427" s="49"/>
      <c r="G427" s="49"/>
    </row>
    <row r="428" customFormat="false" ht="15.75" hidden="false" customHeight="false" outlineLevel="0" collapsed="false">
      <c r="A428" s="35" t="str">
        <f aca="false">IF(ISBLANK(B428),"",_xlfn.ISOWEEKNUM('Journal de travail'!$B428))</f>
        <v/>
      </c>
      <c r="B428" s="46"/>
      <c r="C428" s="37"/>
      <c r="D428" s="38"/>
      <c r="E428" s="39"/>
      <c r="F428" s="47"/>
      <c r="G428" s="47"/>
    </row>
    <row r="429" customFormat="false" ht="15.75" hidden="false" customHeight="false" outlineLevel="0" collapsed="false">
      <c r="A429" s="35" t="str">
        <f aca="false">IF(ISBLANK(B429),"",_xlfn.ISOWEEKNUM('Journal de travail'!$B429))</f>
        <v/>
      </c>
      <c r="B429" s="48"/>
      <c r="C429" s="42"/>
      <c r="D429" s="43"/>
      <c r="E429" s="44"/>
      <c r="F429" s="49"/>
      <c r="G429" s="49"/>
    </row>
    <row r="430" customFormat="false" ht="15.75" hidden="false" customHeight="false" outlineLevel="0" collapsed="false">
      <c r="A430" s="35" t="str">
        <f aca="false">IF(ISBLANK(B430),"",_xlfn.ISOWEEKNUM('Journal de travail'!$B430))</f>
        <v/>
      </c>
      <c r="B430" s="46"/>
      <c r="C430" s="37"/>
      <c r="D430" s="38"/>
      <c r="E430" s="39"/>
      <c r="F430" s="47"/>
      <c r="G430" s="47"/>
    </row>
    <row r="431" customFormat="false" ht="15.75" hidden="false" customHeight="false" outlineLevel="0" collapsed="false">
      <c r="A431" s="35" t="str">
        <f aca="false">IF(ISBLANK(B431),"",_xlfn.ISOWEEKNUM('Journal de travail'!$B431))</f>
        <v/>
      </c>
      <c r="B431" s="48"/>
      <c r="C431" s="42"/>
      <c r="D431" s="43"/>
      <c r="E431" s="44"/>
      <c r="F431" s="49"/>
      <c r="G431" s="49"/>
    </row>
    <row r="432" customFormat="false" ht="15.75" hidden="false" customHeight="false" outlineLevel="0" collapsed="false">
      <c r="A432" s="35" t="str">
        <f aca="false">IF(ISBLANK(B432),"",_xlfn.ISOWEEKNUM('Journal de travail'!$B432))</f>
        <v/>
      </c>
      <c r="B432" s="46"/>
      <c r="C432" s="37"/>
      <c r="D432" s="38"/>
      <c r="E432" s="39"/>
      <c r="F432" s="47"/>
      <c r="G432" s="47"/>
    </row>
    <row r="433" customFormat="false" ht="15.75" hidden="false" customHeight="false" outlineLevel="0" collapsed="false">
      <c r="A433" s="35" t="str">
        <f aca="false">IF(ISBLANK(B433),"",_xlfn.ISOWEEKNUM('Journal de travail'!$B433))</f>
        <v/>
      </c>
      <c r="B433" s="48"/>
      <c r="C433" s="42"/>
      <c r="D433" s="43"/>
      <c r="E433" s="44"/>
      <c r="F433" s="49"/>
      <c r="G433" s="49"/>
    </row>
    <row r="434" customFormat="false" ht="15.75" hidden="false" customHeight="false" outlineLevel="0" collapsed="false">
      <c r="A434" s="35" t="str">
        <f aca="false">IF(ISBLANK(B434),"",_xlfn.ISOWEEKNUM('Journal de travail'!$B434))</f>
        <v/>
      </c>
      <c r="B434" s="46"/>
      <c r="C434" s="37"/>
      <c r="D434" s="38"/>
      <c r="E434" s="39"/>
      <c r="F434" s="47"/>
      <c r="G434" s="47"/>
    </row>
    <row r="435" customFormat="false" ht="15.75" hidden="false" customHeight="false" outlineLevel="0" collapsed="false">
      <c r="A435" s="35" t="str">
        <f aca="false">IF(ISBLANK(B435),"",_xlfn.ISOWEEKNUM('Journal de travail'!$B435))</f>
        <v/>
      </c>
      <c r="B435" s="48"/>
      <c r="C435" s="42"/>
      <c r="D435" s="43"/>
      <c r="E435" s="44"/>
      <c r="F435" s="49"/>
      <c r="G435" s="49"/>
    </row>
    <row r="436" customFormat="false" ht="15.75" hidden="false" customHeight="false" outlineLevel="0" collapsed="false">
      <c r="A436" s="35" t="str">
        <f aca="false">IF(ISBLANK(B436),"",_xlfn.ISOWEEKNUM('Journal de travail'!$B436))</f>
        <v/>
      </c>
      <c r="B436" s="46"/>
      <c r="C436" s="37"/>
      <c r="D436" s="38"/>
      <c r="E436" s="39"/>
      <c r="F436" s="47"/>
      <c r="G436" s="47"/>
    </row>
    <row r="437" customFormat="false" ht="15.75" hidden="false" customHeight="false" outlineLevel="0" collapsed="false">
      <c r="A437" s="35" t="str">
        <f aca="false">IF(ISBLANK(B437),"",_xlfn.ISOWEEKNUM('Journal de travail'!$B437))</f>
        <v/>
      </c>
      <c r="B437" s="48"/>
      <c r="C437" s="42"/>
      <c r="D437" s="43"/>
      <c r="E437" s="44"/>
      <c r="F437" s="49"/>
      <c r="G437" s="49"/>
    </row>
    <row r="438" customFormat="false" ht="15.75" hidden="false" customHeight="false" outlineLevel="0" collapsed="false">
      <c r="A438" s="35" t="str">
        <f aca="false">IF(ISBLANK(B438),"",_xlfn.ISOWEEKNUM('Journal de travail'!$B438))</f>
        <v/>
      </c>
      <c r="B438" s="46"/>
      <c r="C438" s="37"/>
      <c r="D438" s="38"/>
      <c r="E438" s="39"/>
      <c r="F438" s="47"/>
      <c r="G438" s="47"/>
    </row>
    <row r="439" customFormat="false" ht="15.75" hidden="false" customHeight="false" outlineLevel="0" collapsed="false">
      <c r="A439" s="35" t="str">
        <f aca="false">IF(ISBLANK(B439),"",_xlfn.ISOWEEKNUM('Journal de travail'!$B439))</f>
        <v/>
      </c>
      <c r="B439" s="48"/>
      <c r="C439" s="42"/>
      <c r="D439" s="43"/>
      <c r="E439" s="44"/>
      <c r="F439" s="49"/>
      <c r="G439" s="49"/>
    </row>
    <row r="440" customFormat="false" ht="15.75" hidden="false" customHeight="false" outlineLevel="0" collapsed="false">
      <c r="A440" s="35" t="str">
        <f aca="false">IF(ISBLANK(B440),"",_xlfn.ISOWEEKNUM('Journal de travail'!$B440))</f>
        <v/>
      </c>
      <c r="B440" s="46"/>
      <c r="C440" s="37"/>
      <c r="D440" s="38"/>
      <c r="E440" s="39"/>
      <c r="F440" s="47"/>
      <c r="G440" s="47"/>
    </row>
    <row r="441" customFormat="false" ht="15.75" hidden="false" customHeight="false" outlineLevel="0" collapsed="false">
      <c r="A441" s="35" t="str">
        <f aca="false">IF(ISBLANK(B441),"",_xlfn.ISOWEEKNUM('Journal de travail'!$B441))</f>
        <v/>
      </c>
      <c r="B441" s="48"/>
      <c r="C441" s="42"/>
      <c r="D441" s="43"/>
      <c r="E441" s="44"/>
      <c r="F441" s="49"/>
      <c r="G441" s="49"/>
    </row>
    <row r="442" customFormat="false" ht="15.75" hidden="false" customHeight="false" outlineLevel="0" collapsed="false">
      <c r="A442" s="35" t="str">
        <f aca="false">IF(ISBLANK(B442),"",_xlfn.ISOWEEKNUM('Journal de travail'!$B442))</f>
        <v/>
      </c>
      <c r="B442" s="46"/>
      <c r="C442" s="37"/>
      <c r="D442" s="38"/>
      <c r="E442" s="39"/>
      <c r="F442" s="47"/>
      <c r="G442" s="47"/>
    </row>
    <row r="443" customFormat="false" ht="15.75" hidden="false" customHeight="false" outlineLevel="0" collapsed="false">
      <c r="A443" s="35" t="str">
        <f aca="false">IF(ISBLANK(B443),"",_xlfn.ISOWEEKNUM('Journal de travail'!$B443))</f>
        <v/>
      </c>
      <c r="B443" s="48"/>
      <c r="C443" s="42"/>
      <c r="D443" s="43"/>
      <c r="E443" s="44"/>
      <c r="F443" s="49"/>
      <c r="G443" s="49"/>
    </row>
    <row r="444" customFormat="false" ht="15.75" hidden="false" customHeight="false" outlineLevel="0" collapsed="false">
      <c r="A444" s="35" t="str">
        <f aca="false">IF(ISBLANK(B444),"",_xlfn.ISOWEEKNUM('Journal de travail'!$B444))</f>
        <v/>
      </c>
      <c r="B444" s="46"/>
      <c r="C444" s="37"/>
      <c r="D444" s="38"/>
      <c r="E444" s="39"/>
      <c r="F444" s="47"/>
      <c r="G444" s="47"/>
    </row>
    <row r="445" customFormat="false" ht="15.75" hidden="false" customHeight="false" outlineLevel="0" collapsed="false">
      <c r="A445" s="35" t="str">
        <f aca="false">IF(ISBLANK(B445),"",_xlfn.ISOWEEKNUM('Journal de travail'!$B445))</f>
        <v/>
      </c>
      <c r="B445" s="48"/>
      <c r="C445" s="42"/>
      <c r="D445" s="43"/>
      <c r="E445" s="44"/>
      <c r="F445" s="49"/>
      <c r="G445" s="49"/>
    </row>
    <row r="446" customFormat="false" ht="15.75" hidden="false" customHeight="false" outlineLevel="0" collapsed="false">
      <c r="A446" s="35" t="str">
        <f aca="false">IF(ISBLANK(B446),"",_xlfn.ISOWEEKNUM('Journal de travail'!$B446))</f>
        <v/>
      </c>
      <c r="B446" s="46"/>
      <c r="C446" s="37"/>
      <c r="D446" s="38"/>
      <c r="E446" s="39"/>
      <c r="F446" s="47"/>
      <c r="G446" s="47"/>
    </row>
    <row r="447" customFormat="false" ht="15.75" hidden="false" customHeight="false" outlineLevel="0" collapsed="false">
      <c r="A447" s="35" t="str">
        <f aca="false">IF(ISBLANK(B447),"",_xlfn.ISOWEEKNUM('Journal de travail'!$B447))</f>
        <v/>
      </c>
      <c r="B447" s="48"/>
      <c r="C447" s="42"/>
      <c r="D447" s="43"/>
      <c r="E447" s="44"/>
      <c r="F447" s="49"/>
      <c r="G447" s="49"/>
    </row>
    <row r="448" customFormat="false" ht="15.75" hidden="false" customHeight="false" outlineLevel="0" collapsed="false">
      <c r="A448" s="35" t="str">
        <f aca="false">IF(ISBLANK(B448),"",_xlfn.ISOWEEKNUM('Journal de travail'!$B448))</f>
        <v/>
      </c>
      <c r="B448" s="46"/>
      <c r="C448" s="37"/>
      <c r="D448" s="38"/>
      <c r="E448" s="39"/>
      <c r="F448" s="47"/>
      <c r="G448" s="47"/>
    </row>
    <row r="449" customFormat="false" ht="15.75" hidden="false" customHeight="false" outlineLevel="0" collapsed="false">
      <c r="A449" s="35" t="str">
        <f aca="false">IF(ISBLANK(B449),"",_xlfn.ISOWEEKNUM('Journal de travail'!$B449))</f>
        <v/>
      </c>
      <c r="B449" s="48"/>
      <c r="C449" s="42"/>
      <c r="D449" s="43"/>
      <c r="E449" s="44"/>
      <c r="F449" s="49"/>
      <c r="G449" s="49"/>
    </row>
    <row r="450" customFormat="false" ht="15.75" hidden="false" customHeight="false" outlineLevel="0" collapsed="false">
      <c r="A450" s="35" t="str">
        <f aca="false">IF(ISBLANK(B450),"",_xlfn.ISOWEEKNUM('Journal de travail'!$B450))</f>
        <v/>
      </c>
      <c r="B450" s="46"/>
      <c r="C450" s="37"/>
      <c r="D450" s="38"/>
      <c r="E450" s="39"/>
      <c r="F450" s="47"/>
      <c r="G450" s="47"/>
    </row>
    <row r="451" customFormat="false" ht="15.75" hidden="false" customHeight="false" outlineLevel="0" collapsed="false">
      <c r="A451" s="35" t="str">
        <f aca="false">IF(ISBLANK(B451),"",_xlfn.ISOWEEKNUM('Journal de travail'!$B451))</f>
        <v/>
      </c>
      <c r="B451" s="48"/>
      <c r="C451" s="42"/>
      <c r="D451" s="43"/>
      <c r="E451" s="44"/>
      <c r="F451" s="49"/>
      <c r="G451" s="49"/>
    </row>
    <row r="452" customFormat="false" ht="15.75" hidden="false" customHeight="false" outlineLevel="0" collapsed="false">
      <c r="A452" s="35" t="str">
        <f aca="false">IF(ISBLANK(B452),"",_xlfn.ISOWEEKNUM('Journal de travail'!$B452))</f>
        <v/>
      </c>
      <c r="B452" s="46"/>
      <c r="C452" s="37"/>
      <c r="D452" s="38"/>
      <c r="E452" s="39"/>
      <c r="F452" s="47"/>
      <c r="G452" s="47"/>
    </row>
    <row r="453" customFormat="false" ht="15.75" hidden="false" customHeight="false" outlineLevel="0" collapsed="false">
      <c r="A453" s="35" t="str">
        <f aca="false">IF(ISBLANK(B453),"",_xlfn.ISOWEEKNUM('Journal de travail'!$B453))</f>
        <v/>
      </c>
      <c r="B453" s="48"/>
      <c r="C453" s="42"/>
      <c r="D453" s="43"/>
      <c r="E453" s="44"/>
      <c r="F453" s="49"/>
      <c r="G453" s="49"/>
    </row>
    <row r="454" customFormat="false" ht="15.75" hidden="false" customHeight="false" outlineLevel="0" collapsed="false">
      <c r="A454" s="35" t="str">
        <f aca="false">IF(ISBLANK(B454),"",_xlfn.ISOWEEKNUM('Journal de travail'!$B454))</f>
        <v/>
      </c>
      <c r="B454" s="46"/>
      <c r="C454" s="37"/>
      <c r="D454" s="38"/>
      <c r="E454" s="39"/>
      <c r="F454" s="47"/>
      <c r="G454" s="47"/>
    </row>
    <row r="455" customFormat="false" ht="15.75" hidden="false" customHeight="false" outlineLevel="0" collapsed="false">
      <c r="A455" s="35" t="str">
        <f aca="false">IF(ISBLANK(B455),"",_xlfn.ISOWEEKNUM('Journal de travail'!$B455))</f>
        <v/>
      </c>
      <c r="B455" s="48"/>
      <c r="C455" s="42"/>
      <c r="D455" s="43"/>
      <c r="E455" s="44"/>
      <c r="F455" s="49"/>
      <c r="G455" s="49"/>
    </row>
    <row r="456" customFormat="false" ht="15.75" hidden="false" customHeight="false" outlineLevel="0" collapsed="false">
      <c r="A456" s="35" t="str">
        <f aca="false">IF(ISBLANK(B456),"",_xlfn.ISOWEEKNUM('Journal de travail'!$B456))</f>
        <v/>
      </c>
      <c r="B456" s="46"/>
      <c r="C456" s="37"/>
      <c r="D456" s="38"/>
      <c r="E456" s="39"/>
      <c r="F456" s="47"/>
      <c r="G456" s="47"/>
    </row>
    <row r="457" customFormat="false" ht="15.75" hidden="false" customHeight="false" outlineLevel="0" collapsed="false">
      <c r="A457" s="35" t="str">
        <f aca="false">IF(ISBLANK(B457),"",_xlfn.ISOWEEKNUM('Journal de travail'!$B457))</f>
        <v/>
      </c>
      <c r="B457" s="48"/>
      <c r="C457" s="42"/>
      <c r="D457" s="43"/>
      <c r="E457" s="44"/>
      <c r="F457" s="49"/>
      <c r="G457" s="49"/>
    </row>
    <row r="458" customFormat="false" ht="15.75" hidden="false" customHeight="false" outlineLevel="0" collapsed="false">
      <c r="A458" s="35" t="str">
        <f aca="false">IF(ISBLANK(B458),"",_xlfn.ISOWEEKNUM('Journal de travail'!$B458))</f>
        <v/>
      </c>
      <c r="B458" s="46"/>
      <c r="C458" s="37"/>
      <c r="D458" s="38"/>
      <c r="E458" s="39"/>
      <c r="F458" s="47"/>
      <c r="G458" s="47"/>
    </row>
    <row r="459" customFormat="false" ht="15.75" hidden="false" customHeight="false" outlineLevel="0" collapsed="false">
      <c r="A459" s="35" t="str">
        <f aca="false">IF(ISBLANK(B459),"",_xlfn.ISOWEEKNUM('Journal de travail'!$B459))</f>
        <v/>
      </c>
      <c r="B459" s="48"/>
      <c r="C459" s="42"/>
      <c r="D459" s="43"/>
      <c r="E459" s="44"/>
      <c r="F459" s="49"/>
      <c r="G459" s="49"/>
    </row>
    <row r="460" customFormat="false" ht="15.75" hidden="false" customHeight="false" outlineLevel="0" collapsed="false">
      <c r="A460" s="35" t="str">
        <f aca="false">IF(ISBLANK(B460),"",_xlfn.ISOWEEKNUM('Journal de travail'!$B460))</f>
        <v/>
      </c>
      <c r="B460" s="46"/>
      <c r="C460" s="37"/>
      <c r="D460" s="38"/>
      <c r="E460" s="39"/>
      <c r="F460" s="47"/>
      <c r="G460" s="47"/>
    </row>
    <row r="461" customFormat="false" ht="15.75" hidden="false" customHeight="false" outlineLevel="0" collapsed="false">
      <c r="A461" s="35" t="str">
        <f aca="false">IF(ISBLANK(B461),"",_xlfn.ISOWEEKNUM('Journal de travail'!$B461))</f>
        <v/>
      </c>
      <c r="B461" s="48"/>
      <c r="C461" s="42"/>
      <c r="D461" s="43"/>
      <c r="E461" s="44"/>
      <c r="F461" s="49"/>
      <c r="G461" s="49"/>
    </row>
    <row r="462" customFormat="false" ht="15.75" hidden="false" customHeight="false" outlineLevel="0" collapsed="false">
      <c r="A462" s="35" t="str">
        <f aca="false">IF(ISBLANK(B462),"",_xlfn.ISOWEEKNUM('Journal de travail'!$B462))</f>
        <v/>
      </c>
      <c r="B462" s="46"/>
      <c r="C462" s="37"/>
      <c r="D462" s="38"/>
      <c r="E462" s="39"/>
      <c r="F462" s="47"/>
      <c r="G462" s="47"/>
    </row>
    <row r="463" customFormat="false" ht="15.75" hidden="false" customHeight="false" outlineLevel="0" collapsed="false">
      <c r="A463" s="35" t="str">
        <f aca="false">IF(ISBLANK(B463),"",_xlfn.ISOWEEKNUM('Journal de travail'!$B463))</f>
        <v/>
      </c>
      <c r="B463" s="48"/>
      <c r="C463" s="42"/>
      <c r="D463" s="43"/>
      <c r="E463" s="44"/>
      <c r="F463" s="49"/>
      <c r="G463" s="49"/>
    </row>
    <row r="464" customFormat="false" ht="15.75" hidden="false" customHeight="false" outlineLevel="0" collapsed="false">
      <c r="A464" s="35" t="str">
        <f aca="false">IF(ISBLANK(B464),"",_xlfn.ISOWEEKNUM('Journal de travail'!$B464))</f>
        <v/>
      </c>
      <c r="B464" s="46"/>
      <c r="C464" s="37"/>
      <c r="D464" s="38"/>
      <c r="E464" s="39"/>
      <c r="F464" s="47"/>
      <c r="G464" s="47"/>
    </row>
    <row r="465" customFormat="false" ht="15.75" hidden="false" customHeight="false" outlineLevel="0" collapsed="false">
      <c r="A465" s="35" t="str">
        <f aca="false">IF(ISBLANK(B465),"",_xlfn.ISOWEEKNUM('Journal de travail'!$B465))</f>
        <v/>
      </c>
      <c r="B465" s="48"/>
      <c r="C465" s="42"/>
      <c r="D465" s="43"/>
      <c r="E465" s="44"/>
      <c r="F465" s="49"/>
      <c r="G465" s="49"/>
    </row>
    <row r="466" customFormat="false" ht="15.75" hidden="false" customHeight="false" outlineLevel="0" collapsed="false">
      <c r="A466" s="35" t="str">
        <f aca="false">IF(ISBLANK(B466),"",_xlfn.ISOWEEKNUM('Journal de travail'!$B466))</f>
        <v/>
      </c>
      <c r="B466" s="46"/>
      <c r="C466" s="37"/>
      <c r="D466" s="38"/>
      <c r="E466" s="39"/>
      <c r="F466" s="47"/>
      <c r="G466" s="47"/>
    </row>
    <row r="467" customFormat="false" ht="15.75" hidden="false" customHeight="false" outlineLevel="0" collapsed="false">
      <c r="A467" s="35" t="str">
        <f aca="false">IF(ISBLANK(B467),"",_xlfn.ISOWEEKNUM('Journal de travail'!$B467))</f>
        <v/>
      </c>
      <c r="B467" s="48"/>
      <c r="C467" s="42"/>
      <c r="D467" s="43"/>
      <c r="E467" s="44"/>
      <c r="F467" s="49"/>
      <c r="G467" s="49"/>
    </row>
    <row r="468" customFormat="false" ht="15.75" hidden="false" customHeight="false" outlineLevel="0" collapsed="false">
      <c r="A468" s="35" t="str">
        <f aca="false">IF(ISBLANK(B468),"",_xlfn.ISOWEEKNUM('Journal de travail'!$B468))</f>
        <v/>
      </c>
      <c r="B468" s="46"/>
      <c r="C468" s="37"/>
      <c r="D468" s="38"/>
      <c r="E468" s="39"/>
      <c r="F468" s="47"/>
      <c r="G468" s="47"/>
    </row>
    <row r="469" customFormat="false" ht="15.75" hidden="false" customHeight="false" outlineLevel="0" collapsed="false">
      <c r="A469" s="35" t="str">
        <f aca="false">IF(ISBLANK(B469),"",_xlfn.ISOWEEKNUM('Journal de travail'!$B469))</f>
        <v/>
      </c>
      <c r="B469" s="48"/>
      <c r="C469" s="42"/>
      <c r="D469" s="43"/>
      <c r="E469" s="44"/>
      <c r="F469" s="49"/>
      <c r="G469" s="49"/>
    </row>
    <row r="470" customFormat="false" ht="15.75" hidden="false" customHeight="false" outlineLevel="0" collapsed="false">
      <c r="A470" s="35" t="str">
        <f aca="false">IF(ISBLANK(B470),"",_xlfn.ISOWEEKNUM('Journal de travail'!$B470))</f>
        <v/>
      </c>
      <c r="B470" s="46"/>
      <c r="C470" s="37"/>
      <c r="D470" s="38"/>
      <c r="E470" s="39"/>
      <c r="F470" s="47"/>
      <c r="G470" s="47"/>
    </row>
    <row r="471" customFormat="false" ht="15.75" hidden="false" customHeight="false" outlineLevel="0" collapsed="false">
      <c r="A471" s="35" t="str">
        <f aca="false">IF(ISBLANK(B471),"",_xlfn.ISOWEEKNUM('Journal de travail'!$B471))</f>
        <v/>
      </c>
      <c r="B471" s="48"/>
      <c r="C471" s="42"/>
      <c r="D471" s="43"/>
      <c r="E471" s="44"/>
      <c r="F471" s="49"/>
      <c r="G471" s="49"/>
    </row>
    <row r="472" customFormat="false" ht="15.75" hidden="false" customHeight="false" outlineLevel="0" collapsed="false">
      <c r="A472" s="35" t="str">
        <f aca="false">IF(ISBLANK(B472),"",_xlfn.ISOWEEKNUM('Journal de travail'!$B472))</f>
        <v/>
      </c>
      <c r="B472" s="46"/>
      <c r="C472" s="37"/>
      <c r="D472" s="38"/>
      <c r="E472" s="39"/>
      <c r="F472" s="47"/>
      <c r="G472" s="47"/>
    </row>
    <row r="473" customFormat="false" ht="15.75" hidden="false" customHeight="false" outlineLevel="0" collapsed="false">
      <c r="A473" s="35" t="str">
        <f aca="false">IF(ISBLANK(B473),"",_xlfn.ISOWEEKNUM('Journal de travail'!$B473))</f>
        <v/>
      </c>
      <c r="B473" s="48"/>
      <c r="C473" s="42"/>
      <c r="D473" s="43"/>
      <c r="E473" s="44"/>
      <c r="F473" s="49"/>
      <c r="G473" s="49"/>
    </row>
    <row r="474" customFormat="false" ht="15.75" hidden="false" customHeight="false" outlineLevel="0" collapsed="false">
      <c r="A474" s="35" t="str">
        <f aca="false">IF(ISBLANK(B474),"",_xlfn.ISOWEEKNUM('Journal de travail'!$B474))</f>
        <v/>
      </c>
      <c r="B474" s="46"/>
      <c r="C474" s="37"/>
      <c r="D474" s="38"/>
      <c r="E474" s="39"/>
      <c r="F474" s="47"/>
      <c r="G474" s="47"/>
    </row>
    <row r="475" customFormat="false" ht="15.75" hidden="false" customHeight="false" outlineLevel="0" collapsed="false">
      <c r="A475" s="35" t="str">
        <f aca="false">IF(ISBLANK(B475),"",_xlfn.ISOWEEKNUM('Journal de travail'!$B475))</f>
        <v/>
      </c>
      <c r="B475" s="48"/>
      <c r="C475" s="42"/>
      <c r="D475" s="43"/>
      <c r="E475" s="44"/>
      <c r="F475" s="49"/>
      <c r="G475" s="49"/>
    </row>
    <row r="476" customFormat="false" ht="15.75" hidden="false" customHeight="false" outlineLevel="0" collapsed="false">
      <c r="A476" s="35" t="str">
        <f aca="false">IF(ISBLANK(B476),"",_xlfn.ISOWEEKNUM('Journal de travail'!$B476))</f>
        <v/>
      </c>
      <c r="B476" s="46"/>
      <c r="C476" s="37"/>
      <c r="D476" s="38"/>
      <c r="E476" s="39"/>
      <c r="F476" s="47"/>
      <c r="G476" s="47"/>
    </row>
    <row r="477" customFormat="false" ht="15.75" hidden="false" customHeight="false" outlineLevel="0" collapsed="false">
      <c r="A477" s="35" t="str">
        <f aca="false">IF(ISBLANK(B477),"",_xlfn.ISOWEEKNUM('Journal de travail'!$B477))</f>
        <v/>
      </c>
      <c r="B477" s="48"/>
      <c r="C477" s="42"/>
      <c r="D477" s="43"/>
      <c r="E477" s="44"/>
      <c r="F477" s="49"/>
      <c r="G477" s="49"/>
    </row>
    <row r="478" customFormat="false" ht="15.75" hidden="false" customHeight="false" outlineLevel="0" collapsed="false">
      <c r="A478" s="35" t="str">
        <f aca="false">IF(ISBLANK(B478),"",_xlfn.ISOWEEKNUM('Journal de travail'!$B478))</f>
        <v/>
      </c>
      <c r="B478" s="46"/>
      <c r="C478" s="37"/>
      <c r="D478" s="38"/>
      <c r="E478" s="39"/>
      <c r="F478" s="47"/>
      <c r="G478" s="47"/>
    </row>
    <row r="479" customFormat="false" ht="15.75" hidden="false" customHeight="false" outlineLevel="0" collapsed="false">
      <c r="A479" s="35" t="str">
        <f aca="false">IF(ISBLANK(B479),"",_xlfn.ISOWEEKNUM('Journal de travail'!$B479))</f>
        <v/>
      </c>
      <c r="B479" s="48"/>
      <c r="C479" s="42"/>
      <c r="D479" s="43"/>
      <c r="E479" s="44"/>
      <c r="F479" s="49"/>
      <c r="G479" s="49"/>
    </row>
    <row r="480" customFormat="false" ht="15.75" hidden="false" customHeight="false" outlineLevel="0" collapsed="false">
      <c r="A480" s="35" t="str">
        <f aca="false">IF(ISBLANK(B480),"",_xlfn.ISOWEEKNUM('Journal de travail'!$B480))</f>
        <v/>
      </c>
      <c r="B480" s="46"/>
      <c r="C480" s="37"/>
      <c r="D480" s="38"/>
      <c r="E480" s="39"/>
      <c r="F480" s="47"/>
      <c r="G480" s="47"/>
    </row>
    <row r="481" customFormat="false" ht="15.75" hidden="false" customHeight="false" outlineLevel="0" collapsed="false">
      <c r="A481" s="35" t="str">
        <f aca="false">IF(ISBLANK(B481),"",_xlfn.ISOWEEKNUM('Journal de travail'!$B481))</f>
        <v/>
      </c>
      <c r="B481" s="48"/>
      <c r="C481" s="42"/>
      <c r="D481" s="43"/>
      <c r="E481" s="44"/>
      <c r="F481" s="49"/>
      <c r="G481" s="49"/>
    </row>
    <row r="482" customFormat="false" ht="15.75" hidden="false" customHeight="false" outlineLevel="0" collapsed="false">
      <c r="A482" s="35" t="str">
        <f aca="false">IF(ISBLANK(B482),"",_xlfn.ISOWEEKNUM('Journal de travail'!$B482))</f>
        <v/>
      </c>
      <c r="B482" s="46"/>
      <c r="C482" s="37"/>
      <c r="D482" s="38"/>
      <c r="E482" s="39"/>
      <c r="F482" s="47"/>
      <c r="G482" s="47"/>
    </row>
    <row r="483" customFormat="false" ht="15.75" hidden="false" customHeight="false" outlineLevel="0" collapsed="false">
      <c r="A483" s="35" t="str">
        <f aca="false">IF(ISBLANK(B483),"",_xlfn.ISOWEEKNUM('Journal de travail'!$B483))</f>
        <v/>
      </c>
      <c r="B483" s="48"/>
      <c r="C483" s="42"/>
      <c r="D483" s="43"/>
      <c r="E483" s="44"/>
      <c r="F483" s="49"/>
      <c r="G483" s="49"/>
    </row>
    <row r="484" customFormat="false" ht="15.75" hidden="false" customHeight="false" outlineLevel="0" collapsed="false">
      <c r="A484" s="35" t="str">
        <f aca="false">IF(ISBLANK(B484),"",_xlfn.ISOWEEKNUM('Journal de travail'!$B484))</f>
        <v/>
      </c>
      <c r="B484" s="46"/>
      <c r="C484" s="37"/>
      <c r="D484" s="38"/>
      <c r="E484" s="39"/>
      <c r="F484" s="47"/>
      <c r="G484" s="47"/>
    </row>
    <row r="485" customFormat="false" ht="15.75" hidden="false" customHeight="false" outlineLevel="0" collapsed="false">
      <c r="A485" s="35" t="str">
        <f aca="false">IF(ISBLANK(B485),"",_xlfn.ISOWEEKNUM('Journal de travail'!$B485))</f>
        <v/>
      </c>
      <c r="B485" s="48"/>
      <c r="C485" s="42"/>
      <c r="D485" s="43"/>
      <c r="E485" s="44"/>
      <c r="F485" s="49"/>
      <c r="G485" s="49"/>
    </row>
    <row r="486" customFormat="false" ht="15.75" hidden="false" customHeight="false" outlineLevel="0" collapsed="false">
      <c r="A486" s="35" t="str">
        <f aca="false">IF(ISBLANK(B486),"",_xlfn.ISOWEEKNUM('Journal de travail'!$B486))</f>
        <v/>
      </c>
      <c r="B486" s="46"/>
      <c r="C486" s="37"/>
      <c r="D486" s="38"/>
      <c r="E486" s="39"/>
      <c r="F486" s="47"/>
      <c r="G486" s="47"/>
    </row>
    <row r="487" customFormat="false" ht="15.75" hidden="false" customHeight="false" outlineLevel="0" collapsed="false">
      <c r="A487" s="35" t="str">
        <f aca="false">IF(ISBLANK(B487),"",_xlfn.ISOWEEKNUM('Journal de travail'!$B487))</f>
        <v/>
      </c>
      <c r="B487" s="48"/>
      <c r="C487" s="42"/>
      <c r="D487" s="43"/>
      <c r="E487" s="44"/>
      <c r="F487" s="49"/>
      <c r="G487" s="49"/>
    </row>
    <row r="488" customFormat="false" ht="15.75" hidden="false" customHeight="false" outlineLevel="0" collapsed="false">
      <c r="A488" s="35" t="str">
        <f aca="false">IF(ISBLANK(B488),"",_xlfn.ISOWEEKNUM('Journal de travail'!$B488))</f>
        <v/>
      </c>
      <c r="B488" s="46"/>
      <c r="C488" s="37"/>
      <c r="D488" s="38"/>
      <c r="E488" s="39"/>
      <c r="F488" s="47"/>
      <c r="G488" s="47"/>
    </row>
    <row r="489" customFormat="false" ht="15.75" hidden="false" customHeight="false" outlineLevel="0" collapsed="false">
      <c r="A489" s="35" t="str">
        <f aca="false">IF(ISBLANK(B489),"",_xlfn.ISOWEEKNUM('Journal de travail'!$B489))</f>
        <v/>
      </c>
      <c r="B489" s="48"/>
      <c r="C489" s="42"/>
      <c r="D489" s="43"/>
      <c r="E489" s="44"/>
      <c r="F489" s="49"/>
      <c r="G489" s="49"/>
    </row>
    <row r="490" customFormat="false" ht="15.75" hidden="false" customHeight="false" outlineLevel="0" collapsed="false">
      <c r="A490" s="35" t="str">
        <f aca="false">IF(ISBLANK(B490),"",_xlfn.ISOWEEKNUM('Journal de travail'!$B490))</f>
        <v/>
      </c>
      <c r="B490" s="46"/>
      <c r="C490" s="37"/>
      <c r="D490" s="38"/>
      <c r="E490" s="39"/>
      <c r="F490" s="47"/>
      <c r="G490" s="47"/>
    </row>
    <row r="491" customFormat="false" ht="15.75" hidden="false" customHeight="false" outlineLevel="0" collapsed="false">
      <c r="A491" s="35" t="str">
        <f aca="false">IF(ISBLANK(B491),"",_xlfn.ISOWEEKNUM('Journal de travail'!$B491))</f>
        <v/>
      </c>
      <c r="B491" s="48"/>
      <c r="C491" s="42"/>
      <c r="D491" s="43"/>
      <c r="E491" s="44"/>
      <c r="F491" s="49"/>
      <c r="G491" s="49"/>
    </row>
    <row r="492" customFormat="false" ht="15.75" hidden="false" customHeight="false" outlineLevel="0" collapsed="false">
      <c r="A492" s="35" t="str">
        <f aca="false">IF(ISBLANK(B492),"",_xlfn.ISOWEEKNUM('Journal de travail'!$B492))</f>
        <v/>
      </c>
      <c r="B492" s="46"/>
      <c r="C492" s="37"/>
      <c r="D492" s="38"/>
      <c r="E492" s="39"/>
      <c r="F492" s="47"/>
      <c r="G492" s="47"/>
    </row>
    <row r="493" customFormat="false" ht="15.75" hidden="false" customHeight="false" outlineLevel="0" collapsed="false">
      <c r="A493" s="35" t="str">
        <f aca="false">IF(ISBLANK(B493),"",_xlfn.ISOWEEKNUM('Journal de travail'!$B493))</f>
        <v/>
      </c>
      <c r="B493" s="48"/>
      <c r="C493" s="42"/>
      <c r="D493" s="43"/>
      <c r="E493" s="44"/>
      <c r="F493" s="49"/>
      <c r="G493" s="49"/>
    </row>
    <row r="494" customFormat="false" ht="15.75" hidden="false" customHeight="false" outlineLevel="0" collapsed="false">
      <c r="A494" s="35" t="str">
        <f aca="false">IF(ISBLANK(B494),"",_xlfn.ISOWEEKNUM('Journal de travail'!$B494))</f>
        <v/>
      </c>
      <c r="B494" s="46"/>
      <c r="C494" s="37"/>
      <c r="D494" s="38"/>
      <c r="E494" s="39"/>
      <c r="F494" s="47"/>
      <c r="G494" s="47"/>
    </row>
    <row r="495" customFormat="false" ht="15.75" hidden="false" customHeight="false" outlineLevel="0" collapsed="false">
      <c r="A495" s="35" t="str">
        <f aca="false">IF(ISBLANK(B495),"",_xlfn.ISOWEEKNUM('Journal de travail'!$B495))</f>
        <v/>
      </c>
      <c r="B495" s="48"/>
      <c r="C495" s="42"/>
      <c r="D495" s="43"/>
      <c r="E495" s="44"/>
      <c r="F495" s="49"/>
      <c r="G495" s="49"/>
    </row>
    <row r="496" customFormat="false" ht="15.75" hidden="false" customHeight="false" outlineLevel="0" collapsed="false">
      <c r="A496" s="35" t="str">
        <f aca="false">IF(ISBLANK(B496),"",_xlfn.ISOWEEKNUM('Journal de travail'!$B496))</f>
        <v/>
      </c>
      <c r="B496" s="46"/>
      <c r="C496" s="37"/>
      <c r="D496" s="38"/>
      <c r="E496" s="39"/>
      <c r="F496" s="47"/>
      <c r="G496" s="47"/>
    </row>
    <row r="497" customFormat="false" ht="15.75" hidden="false" customHeight="false" outlineLevel="0" collapsed="false">
      <c r="A497" s="35" t="str">
        <f aca="false">IF(ISBLANK(B497),"",_xlfn.ISOWEEKNUM('Journal de travail'!$B497))</f>
        <v/>
      </c>
      <c r="B497" s="48"/>
      <c r="C497" s="42"/>
      <c r="D497" s="43"/>
      <c r="E497" s="44"/>
      <c r="F497" s="49"/>
      <c r="G497" s="49"/>
    </row>
    <row r="498" customFormat="false" ht="15.75" hidden="false" customHeight="false" outlineLevel="0" collapsed="false">
      <c r="A498" s="35" t="str">
        <f aca="false">IF(ISBLANK(B498),"",_xlfn.ISOWEEKNUM('Journal de travail'!$B498))</f>
        <v/>
      </c>
      <c r="B498" s="46"/>
      <c r="C498" s="37"/>
      <c r="D498" s="38"/>
      <c r="E498" s="39"/>
      <c r="F498" s="47"/>
      <c r="G498" s="47"/>
    </row>
    <row r="499" customFormat="false" ht="15.75" hidden="false" customHeight="false" outlineLevel="0" collapsed="false">
      <c r="A499" s="35" t="str">
        <f aca="false">IF(ISBLANK(B499),"",_xlfn.ISOWEEKNUM('Journal de travail'!$B499))</f>
        <v/>
      </c>
      <c r="B499" s="48"/>
      <c r="C499" s="42"/>
      <c r="D499" s="43"/>
      <c r="E499" s="44"/>
      <c r="F499" s="49"/>
      <c r="G499" s="49"/>
    </row>
    <row r="500" customFormat="false" ht="15.75" hidden="false" customHeight="false" outlineLevel="0" collapsed="false">
      <c r="A500" s="35" t="str">
        <f aca="false">IF(ISBLANK(B500),"",_xlfn.ISOWEEKNUM('Journal de travail'!$B500))</f>
        <v/>
      </c>
      <c r="B500" s="46"/>
      <c r="C500" s="37"/>
      <c r="D500" s="38"/>
      <c r="E500" s="39"/>
      <c r="F500" s="47"/>
      <c r="G500" s="47"/>
    </row>
    <row r="501" customFormat="false" ht="15.75" hidden="false" customHeight="false" outlineLevel="0" collapsed="false">
      <c r="A501" s="35" t="str">
        <f aca="false">IF(ISBLANK(B501),"",_xlfn.ISOWEEKNUM('Journal de travail'!$B501))</f>
        <v/>
      </c>
      <c r="B501" s="48"/>
      <c r="C501" s="42"/>
      <c r="D501" s="43"/>
      <c r="E501" s="44"/>
      <c r="F501" s="49"/>
      <c r="G501" s="49"/>
    </row>
    <row r="502" customFormat="false" ht="15.75" hidden="false" customHeight="false" outlineLevel="0" collapsed="false">
      <c r="A502" s="35" t="str">
        <f aca="false">IF(ISBLANK(B502),"",_xlfn.ISOWEEKNUM('Journal de travail'!$B502))</f>
        <v/>
      </c>
      <c r="B502" s="46"/>
      <c r="C502" s="37"/>
      <c r="D502" s="38"/>
      <c r="E502" s="39"/>
      <c r="F502" s="47"/>
      <c r="G502" s="47"/>
    </row>
    <row r="503" customFormat="false" ht="15.75" hidden="false" customHeight="false" outlineLevel="0" collapsed="false">
      <c r="A503" s="35" t="str">
        <f aca="false">IF(ISBLANK(B503),"",_xlfn.ISOWEEKNUM('Journal de travail'!$B503))</f>
        <v/>
      </c>
      <c r="B503" s="48"/>
      <c r="C503" s="42"/>
      <c r="D503" s="43"/>
      <c r="E503" s="44"/>
      <c r="F503" s="49"/>
      <c r="G503" s="49"/>
    </row>
    <row r="504" customFormat="false" ht="15.75" hidden="false" customHeight="false" outlineLevel="0" collapsed="false">
      <c r="A504" s="35" t="str">
        <f aca="false">IF(ISBLANK(B504),"",_xlfn.ISOWEEKNUM('Journal de travail'!$B504))</f>
        <v/>
      </c>
      <c r="B504" s="46"/>
      <c r="C504" s="37"/>
      <c r="D504" s="38"/>
      <c r="E504" s="39"/>
      <c r="F504" s="47"/>
      <c r="G504" s="47"/>
    </row>
    <row r="505" customFormat="false" ht="15.75" hidden="false" customHeight="false" outlineLevel="0" collapsed="false">
      <c r="A505" s="35" t="str">
        <f aca="false">IF(ISBLANK(B505),"",_xlfn.ISOWEEKNUM('Journal de travail'!$B505))</f>
        <v/>
      </c>
      <c r="B505" s="48"/>
      <c r="C505" s="42"/>
      <c r="D505" s="43"/>
      <c r="E505" s="44"/>
      <c r="F505" s="49"/>
      <c r="G505" s="49"/>
    </row>
    <row r="506" customFormat="false" ht="15.75" hidden="false" customHeight="false" outlineLevel="0" collapsed="false">
      <c r="A506" s="35" t="str">
        <f aca="false">IF(ISBLANK(B506),"",_xlfn.ISOWEEKNUM('Journal de travail'!$B506))</f>
        <v/>
      </c>
      <c r="B506" s="46"/>
      <c r="C506" s="37"/>
      <c r="D506" s="38"/>
      <c r="E506" s="39"/>
      <c r="F506" s="47"/>
      <c r="G506" s="47"/>
    </row>
    <row r="507" customFormat="false" ht="15.75" hidden="false" customHeight="false" outlineLevel="0" collapsed="false">
      <c r="A507" s="35" t="str">
        <f aca="false">IF(ISBLANK(B507),"",_xlfn.ISOWEEKNUM('Journal de travail'!$B507))</f>
        <v/>
      </c>
      <c r="B507" s="48"/>
      <c r="C507" s="42"/>
      <c r="D507" s="43"/>
      <c r="E507" s="44"/>
      <c r="F507" s="49"/>
      <c r="G507" s="49"/>
    </row>
    <row r="508" customFormat="false" ht="15.75" hidden="false" customHeight="false" outlineLevel="0" collapsed="false">
      <c r="A508" s="35" t="str">
        <f aca="false">IF(ISBLANK(B508),"",_xlfn.ISOWEEKNUM('Journal de travail'!$B508))</f>
        <v/>
      </c>
      <c r="B508" s="46"/>
      <c r="C508" s="37"/>
      <c r="D508" s="38"/>
      <c r="E508" s="39"/>
      <c r="F508" s="47"/>
      <c r="G508" s="47"/>
    </row>
    <row r="509" customFormat="false" ht="15.75" hidden="false" customHeight="false" outlineLevel="0" collapsed="false">
      <c r="A509" s="35" t="str">
        <f aca="false">IF(ISBLANK(B509),"",_xlfn.ISOWEEKNUM('Journal de travail'!$B509))</f>
        <v/>
      </c>
      <c r="B509" s="48"/>
      <c r="C509" s="42"/>
      <c r="D509" s="43"/>
      <c r="E509" s="44"/>
      <c r="F509" s="49"/>
      <c r="G509" s="49"/>
    </row>
    <row r="510" customFormat="false" ht="15.75" hidden="false" customHeight="false" outlineLevel="0" collapsed="false">
      <c r="A510" s="35" t="str">
        <f aca="false">IF(ISBLANK(B510),"",_xlfn.ISOWEEKNUM('Journal de travail'!$B510))</f>
        <v/>
      </c>
      <c r="B510" s="46"/>
      <c r="C510" s="37"/>
      <c r="D510" s="38"/>
      <c r="E510" s="39"/>
      <c r="F510" s="47"/>
      <c r="G510" s="47"/>
    </row>
    <row r="511" customFormat="false" ht="15.75" hidden="false" customHeight="false" outlineLevel="0" collapsed="false">
      <c r="A511" s="35" t="str">
        <f aca="false">IF(ISBLANK(B511),"",_xlfn.ISOWEEKNUM('Journal de travail'!$B511))</f>
        <v/>
      </c>
      <c r="B511" s="48"/>
      <c r="C511" s="42"/>
      <c r="D511" s="43"/>
      <c r="E511" s="44"/>
      <c r="F511" s="49"/>
      <c r="G511" s="49"/>
    </row>
    <row r="512" customFormat="false" ht="15.75" hidden="false" customHeight="false" outlineLevel="0" collapsed="false">
      <c r="A512" s="35" t="str">
        <f aca="false">IF(ISBLANK(B512),"",_xlfn.ISOWEEKNUM('Journal de travail'!$B512))</f>
        <v/>
      </c>
      <c r="B512" s="46"/>
      <c r="C512" s="37"/>
      <c r="D512" s="38"/>
      <c r="E512" s="39"/>
      <c r="F512" s="47"/>
      <c r="G512" s="47"/>
    </row>
    <row r="513" customFormat="false" ht="15.75" hidden="false" customHeight="false" outlineLevel="0" collapsed="false">
      <c r="A513" s="35" t="str">
        <f aca="false">IF(ISBLANK(B513),"",_xlfn.ISOWEEKNUM('Journal de travail'!$B513))</f>
        <v/>
      </c>
      <c r="B513" s="48"/>
      <c r="C513" s="42"/>
      <c r="D513" s="43"/>
      <c r="E513" s="44"/>
      <c r="F513" s="49"/>
      <c r="G513" s="49"/>
    </row>
    <row r="514" customFormat="false" ht="15.75" hidden="false" customHeight="false" outlineLevel="0" collapsed="false">
      <c r="A514" s="35" t="str">
        <f aca="false">IF(ISBLANK(B514),"",_xlfn.ISOWEEKNUM('Journal de travail'!$B514))</f>
        <v/>
      </c>
      <c r="B514" s="46"/>
      <c r="C514" s="37"/>
      <c r="D514" s="38"/>
      <c r="E514" s="39"/>
      <c r="F514" s="47"/>
      <c r="G514" s="47"/>
    </row>
    <row r="515" customFormat="false" ht="15.75" hidden="false" customHeight="false" outlineLevel="0" collapsed="false">
      <c r="A515" s="35" t="str">
        <f aca="false">IF(ISBLANK(B515),"",_xlfn.ISOWEEKNUM('Journal de travail'!$B515))</f>
        <v/>
      </c>
      <c r="B515" s="48"/>
      <c r="C515" s="42"/>
      <c r="D515" s="43"/>
      <c r="E515" s="44"/>
      <c r="F515" s="49"/>
      <c r="G515" s="49"/>
    </row>
    <row r="516" customFormat="false" ht="15.75" hidden="false" customHeight="false" outlineLevel="0" collapsed="false">
      <c r="A516" s="35" t="str">
        <f aca="false">IF(ISBLANK(B516),"",_xlfn.ISOWEEKNUM('Journal de travail'!$B516))</f>
        <v/>
      </c>
      <c r="B516" s="46"/>
      <c r="C516" s="37"/>
      <c r="D516" s="38"/>
      <c r="E516" s="39"/>
      <c r="F516" s="47"/>
      <c r="G516" s="47"/>
    </row>
    <row r="517" customFormat="false" ht="15.75" hidden="false" customHeight="false" outlineLevel="0" collapsed="false">
      <c r="A517" s="35" t="str">
        <f aca="false">IF(ISBLANK(B517),"",_xlfn.ISOWEEKNUM('Journal de travail'!$B517))</f>
        <v/>
      </c>
      <c r="B517" s="48"/>
      <c r="C517" s="42"/>
      <c r="D517" s="43"/>
      <c r="E517" s="44"/>
      <c r="F517" s="49"/>
      <c r="G517" s="49"/>
    </row>
    <row r="518" customFormat="false" ht="15.75" hidden="false" customHeight="false" outlineLevel="0" collapsed="false">
      <c r="A518" s="35" t="str">
        <f aca="false">IF(ISBLANK(B518),"",_xlfn.ISOWEEKNUM('Journal de travail'!$B518))</f>
        <v/>
      </c>
      <c r="B518" s="46"/>
      <c r="C518" s="37"/>
      <c r="D518" s="38"/>
      <c r="E518" s="39"/>
      <c r="F518" s="47"/>
      <c r="G518" s="47"/>
    </row>
    <row r="519" customFormat="false" ht="15.75" hidden="false" customHeight="false" outlineLevel="0" collapsed="false">
      <c r="A519" s="35" t="str">
        <f aca="false">IF(ISBLANK(B519),"",_xlfn.ISOWEEKNUM('Journal de travail'!$B519))</f>
        <v/>
      </c>
      <c r="B519" s="48"/>
      <c r="C519" s="42"/>
      <c r="D519" s="43"/>
      <c r="E519" s="44"/>
      <c r="F519" s="49"/>
      <c r="G519" s="49"/>
    </row>
    <row r="520" customFormat="false" ht="15.75" hidden="false" customHeight="false" outlineLevel="0" collapsed="false">
      <c r="A520" s="35" t="str">
        <f aca="false">IF(ISBLANK(B520),"",_xlfn.ISOWEEKNUM('Journal de travail'!$B520))</f>
        <v/>
      </c>
      <c r="B520" s="46"/>
      <c r="C520" s="37"/>
      <c r="D520" s="38"/>
      <c r="E520" s="39"/>
      <c r="F520" s="47"/>
      <c r="G520" s="47"/>
    </row>
    <row r="521" customFormat="false" ht="15.75" hidden="false" customHeight="false" outlineLevel="0" collapsed="false">
      <c r="A521" s="35" t="str">
        <f aca="false">IF(ISBLANK(B521),"",_xlfn.ISOWEEKNUM('Journal de travail'!$B521))</f>
        <v/>
      </c>
      <c r="B521" s="48"/>
      <c r="C521" s="42"/>
      <c r="D521" s="43"/>
      <c r="E521" s="44"/>
      <c r="F521" s="49"/>
      <c r="G521" s="49"/>
    </row>
    <row r="522" customFormat="false" ht="15.75" hidden="false" customHeight="false" outlineLevel="0" collapsed="false">
      <c r="A522" s="35" t="str">
        <f aca="false">IF(ISBLANK(B522),"",_xlfn.ISOWEEKNUM('Journal de travail'!$B522))</f>
        <v/>
      </c>
      <c r="B522" s="46"/>
      <c r="C522" s="37"/>
      <c r="D522" s="38"/>
      <c r="E522" s="39"/>
      <c r="F522" s="47"/>
      <c r="G522" s="47"/>
    </row>
    <row r="523" customFormat="false" ht="15.75" hidden="false" customHeight="false" outlineLevel="0" collapsed="false">
      <c r="A523" s="35" t="str">
        <f aca="false">IF(ISBLANK(B523),"",_xlfn.ISOWEEKNUM('Journal de travail'!$B523))</f>
        <v/>
      </c>
      <c r="B523" s="48"/>
      <c r="C523" s="42"/>
      <c r="D523" s="43"/>
      <c r="E523" s="44"/>
      <c r="F523" s="49"/>
      <c r="G523" s="49"/>
    </row>
    <row r="524" customFormat="false" ht="15.75" hidden="false" customHeight="false" outlineLevel="0" collapsed="false">
      <c r="A524" s="35" t="str">
        <f aca="false">IF(ISBLANK(B524),"",_xlfn.ISOWEEKNUM('Journal de travail'!$B524))</f>
        <v/>
      </c>
      <c r="B524" s="46"/>
      <c r="C524" s="37"/>
      <c r="D524" s="38"/>
      <c r="E524" s="39"/>
      <c r="F524" s="47"/>
      <c r="G524" s="47"/>
    </row>
    <row r="525" customFormat="false" ht="15.75" hidden="false" customHeight="false" outlineLevel="0" collapsed="false">
      <c r="A525" s="35" t="str">
        <f aca="false">IF(ISBLANK(B525),"",_xlfn.ISOWEEKNUM('Journal de travail'!$B525))</f>
        <v/>
      </c>
      <c r="B525" s="48"/>
      <c r="C525" s="42"/>
      <c r="D525" s="43"/>
      <c r="E525" s="44"/>
      <c r="F525" s="49"/>
      <c r="G525" s="49"/>
    </row>
    <row r="526" customFormat="false" ht="15.75" hidden="false" customHeight="false" outlineLevel="0" collapsed="false">
      <c r="A526" s="35" t="str">
        <f aca="false">IF(ISBLANK(B526),"",_xlfn.ISOWEEKNUM('Journal de travail'!$B526))</f>
        <v/>
      </c>
      <c r="B526" s="46"/>
      <c r="C526" s="37"/>
      <c r="D526" s="38"/>
      <c r="E526" s="39"/>
      <c r="F526" s="47"/>
      <c r="G526" s="47"/>
    </row>
    <row r="527" customFormat="false" ht="15.75" hidden="false" customHeight="false" outlineLevel="0" collapsed="false">
      <c r="A527" s="35" t="str">
        <f aca="false">IF(ISBLANK(B527),"",_xlfn.ISOWEEKNUM('Journal de travail'!$B527))</f>
        <v/>
      </c>
      <c r="B527" s="48"/>
      <c r="C527" s="42"/>
      <c r="D527" s="43"/>
      <c r="E527" s="44"/>
      <c r="F527" s="49"/>
      <c r="G527" s="49"/>
    </row>
    <row r="528" customFormat="false" ht="15.75" hidden="false" customHeight="false" outlineLevel="0" collapsed="false">
      <c r="A528" s="35" t="str">
        <f aca="false">IF(ISBLANK(B528),"",_xlfn.ISOWEEKNUM('Journal de travail'!$B528))</f>
        <v/>
      </c>
      <c r="B528" s="46"/>
      <c r="C528" s="37"/>
      <c r="D528" s="38"/>
      <c r="E528" s="39"/>
      <c r="F528" s="47"/>
      <c r="G528" s="47"/>
    </row>
    <row r="529" customFormat="false" ht="15.75" hidden="false" customHeight="false" outlineLevel="0" collapsed="false">
      <c r="A529" s="35" t="str">
        <f aca="false">IF(ISBLANK(B529),"",_xlfn.ISOWEEKNUM('Journal de travail'!$B529))</f>
        <v/>
      </c>
      <c r="B529" s="48"/>
      <c r="C529" s="42"/>
      <c r="D529" s="43"/>
      <c r="E529" s="44"/>
      <c r="F529" s="49"/>
      <c r="G529" s="49"/>
    </row>
    <row r="530" customFormat="false" ht="15.75" hidden="false" customHeight="false" outlineLevel="0" collapsed="false">
      <c r="A530" s="35" t="str">
        <f aca="false">IF(ISBLANK(B530),"",_xlfn.ISOWEEKNUM('Journal de travail'!$B530))</f>
        <v/>
      </c>
      <c r="B530" s="46"/>
      <c r="C530" s="37"/>
      <c r="D530" s="38"/>
      <c r="E530" s="39"/>
      <c r="F530" s="47"/>
      <c r="G530" s="47"/>
    </row>
    <row r="531" customFormat="false" ht="15.75" hidden="false" customHeight="false" outlineLevel="0" collapsed="false">
      <c r="A531" s="35" t="str">
        <f aca="false">IF(ISBLANK(B531),"",_xlfn.ISOWEEKNUM('Journal de travail'!$B531))</f>
        <v/>
      </c>
      <c r="B531" s="48"/>
      <c r="C531" s="42"/>
      <c r="D531" s="43"/>
      <c r="E531" s="44"/>
      <c r="F531" s="49"/>
      <c r="G531" s="49"/>
    </row>
    <row r="532" customFormat="false" ht="15.75" hidden="false" customHeight="false" outlineLevel="0" collapsed="false">
      <c r="A532" s="35" t="n">
        <f aca="false">IF(ISBLANK(B532),"",_xlfn.ISOWEEKNUM('Journal de travail'!$B532))</f>
        <v>38</v>
      </c>
      <c r="B532" s="36" t="n">
        <v>46279</v>
      </c>
      <c r="C532" s="37"/>
      <c r="D532" s="38"/>
      <c r="E532" s="39"/>
      <c r="F532" s="47"/>
      <c r="G532" s="47"/>
    </row>
  </sheetData>
  <sheetProtection algorithmName="SHA-512" hashValue="sC8RJl0M6+wONYXsnCTKmcqXUp1ITAlugv/3BW303r/E9HRpDNWm1EDZcYLBlB50SDN+6uVKCZ+hqkZ4Wju+ZA==" saltValue="fNiMxA6H49sg0PxMFstsLQ==" spinCount="100000" sheet="true" insertHyperlinks="false" selectLockedCells="true" sort="false" autoFilter="false"/>
  <mergeCells count="4">
    <mergeCell ref="A2:B2"/>
    <mergeCell ref="C2:E2"/>
    <mergeCell ref="A3:B3"/>
    <mergeCell ref="C5:D5"/>
  </mergeCells>
  <conditionalFormatting sqref="E7:E532">
    <cfRule type="expression" priority="2" aboveAverage="0" equalAverage="0" bottom="0" percent="0" rank="0" text="" dxfId="9">
      <formula>$E7="Absent"</formula>
    </cfRule>
    <cfRule type="expression" priority="3" aboveAverage="0" equalAverage="0" bottom="0" percent="0" rank="0" text="" dxfId="10">
      <formula>$E7="Autre"</formula>
    </cfRule>
    <cfRule type="expression" priority="4" aboveAverage="0" equalAverage="0" bottom="0" percent="0" rank="0" text="" dxfId="11">
      <formula>$E7="Design"</formula>
    </cfRule>
    <cfRule type="expression" priority="5" aboveAverage="0" equalAverage="0" bottom="0" percent="0" rank="0" text="" dxfId="12">
      <formula>$E7="Présentation"</formula>
    </cfRule>
    <cfRule type="expression" priority="6" aboveAverage="0" equalAverage="0" bottom="0" percent="0" rank="0" text="" dxfId="13">
      <formula>$E7="Meeting"</formula>
    </cfRule>
    <cfRule type="expression" priority="7" aboveAverage="0" equalAverage="0" bottom="0" percent="0" rank="0" text="" dxfId="14">
      <formula>$E7="Documentation"</formula>
    </cfRule>
    <cfRule type="expression" priority="8" aboveAverage="0" equalAverage="0" bottom="0" percent="0" rank="0" text="" dxfId="15">
      <formula>$E7="Test"</formula>
    </cfRule>
    <cfRule type="expression" priority="9" aboveAverage="0" equalAverage="0" bottom="0" percent="0" rank="0" text="" dxfId="16">
      <formula>$E7="Analyse"</formula>
    </cfRule>
    <cfRule type="expression" priority="10" aboveAverage="0" equalAverage="0" bottom="0" percent="0" rank="0" text="" dxfId="17">
      <formula>$E7="Implémentation"</formula>
    </cfRule>
  </conditionalFormatting>
  <dataValidations count="3">
    <dataValidation allowBlank="true" errorStyle="stop" operator="between" showDropDown="false" showErrorMessage="true" showInputMessage="true" sqref="C7:C532" type="list">
      <formula1>$N$7:$N$15</formula1>
      <formula2>0</formula2>
    </dataValidation>
    <dataValidation allowBlank="true" errorStyle="stop" operator="between" showDropDown="false" showErrorMessage="true" showInputMessage="true" sqref="D7:D532" type="list">
      <formula1>$O$7:$O$19</formula1>
      <formula2>0</formula2>
    </dataValidation>
    <dataValidation allowBlank="true" errorStyle="stop" operator="between" showDropDown="false" showErrorMessage="true" showInputMessage="true" sqref="E7:E532" type="list">
      <formula1>$M$7:$M$12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N13"/>
  <sheetViews>
    <sheetView showFormulas="false" showGridLines="true" showRowColHeaders="true" showZeros="true" rightToLeft="false" tabSelected="false" showOutlineSymbols="true" defaultGridColor="true" view="normal" topLeftCell="D2" colorId="64" zoomScale="100" zoomScaleNormal="100" zoomScalePageLayoutView="100" workbookViewId="0">
      <selection pane="topLeft" activeCell="T20" activeCellId="0" sqref="T20"/>
    </sheetView>
  </sheetViews>
  <sheetFormatPr defaultColWidth="10.4921875" defaultRowHeight="18.75" customHeight="false" zeroHeight="false" outlineLevelRow="0" outlineLevelCol="0"/>
  <cols>
    <col collapsed="false" customWidth="true" hidden="true" outlineLevel="0" max="3" min="1" style="4" width="10.83"/>
    <col collapsed="false" customWidth="true" hidden="false" outlineLevel="0" max="4" min="4" style="4" width="10.83"/>
    <col collapsed="false" customWidth="true" hidden="false" outlineLevel="0" max="5" min="5" style="51" width="21"/>
    <col collapsed="false" customWidth="true" hidden="false" outlineLevel="0" max="6" min="6" style="52" width="13.5"/>
    <col collapsed="false" customWidth="true" hidden="false" outlineLevel="0" max="7" min="7" style="4" width="12"/>
    <col collapsed="false" customWidth="true" hidden="false" outlineLevel="0" max="12" min="12" style="4" width="22"/>
    <col collapsed="false" customWidth="true" hidden="false" outlineLevel="0" max="13" min="13" style="4" width="12.83"/>
    <col collapsed="false" customWidth="true" hidden="false" outlineLevel="0" max="14" min="14" style="4" width="9.33"/>
  </cols>
  <sheetData>
    <row r="2" customFormat="false" ht="19.7" hidden="false" customHeight="false" outlineLevel="0" collapsed="false">
      <c r="E2" s="53" t="s">
        <v>37</v>
      </c>
      <c r="F2" s="54" t="n">
        <v>90</v>
      </c>
      <c r="G2" s="53" t="s">
        <v>38</v>
      </c>
      <c r="L2" s="55"/>
      <c r="M2" s="56"/>
      <c r="N2" s="55"/>
    </row>
    <row r="3" customFormat="false" ht="18.75" hidden="false" customHeight="false" outlineLevel="0" collapsed="false">
      <c r="L3" s="51"/>
      <c r="M3" s="57"/>
      <c r="N3" s="51"/>
    </row>
    <row r="4" customFormat="false" ht="19.7" hidden="false" customHeight="false" outlineLevel="0" collapsed="false">
      <c r="E4" s="53" t="s">
        <v>39</v>
      </c>
      <c r="L4" s="53" t="s">
        <v>40</v>
      </c>
      <c r="M4" s="52"/>
      <c r="N4" s="51"/>
    </row>
    <row r="5" customFormat="false" ht="18.75" hidden="false" customHeight="false" outlineLevel="0" collapsed="false">
      <c r="A5" s="4" t="s">
        <v>41</v>
      </c>
      <c r="B5" s="4" t="s">
        <v>42</v>
      </c>
      <c r="C5" s="52" t="s">
        <v>43</v>
      </c>
      <c r="D5" s="58"/>
      <c r="E5" s="59" t="s">
        <v>44</v>
      </c>
      <c r="F5" s="60" t="s">
        <v>45</v>
      </c>
      <c r="G5" s="61" t="s">
        <v>46</v>
      </c>
      <c r="L5" s="62" t="s">
        <v>44</v>
      </c>
      <c r="M5" s="63" t="s">
        <v>45</v>
      </c>
      <c r="N5" s="64" t="s">
        <v>46</v>
      </c>
    </row>
    <row r="6" customFormat="false" ht="18.75" hidden="false" customHeight="false" outlineLevel="0" collapsed="false">
      <c r="A6" s="4" t="n">
        <f aca="false">SUMIF('Journal de travail'!$E$7:$E$532,Plannification!E6,'Journal de travail'!$C$7:$C$532)*60</f>
        <v>60</v>
      </c>
      <c r="B6" s="4" t="n">
        <f aca="false">SUMIF('Journal de travail'!$E$7:$E$532,Plannification!E6,'Journal de travail'!$D$7:$D$532)</f>
        <v>90</v>
      </c>
      <c r="C6" s="4" t="n">
        <f aca="false">SUM(A6:B6)</f>
        <v>150</v>
      </c>
      <c r="E6" s="65" t="str">
        <f aca="false">'Journal de travail'!M8</f>
        <v>Analyse</v>
      </c>
      <c r="F6" s="66" t="str">
        <f aca="false">QUOTIENT(SUM(A6:B6),60)&amp;" h "&amp;TEXT(MOD(SUM(A6:B6),60), "00")&amp;" min"</f>
        <v>2 h 30 min</v>
      </c>
      <c r="G6" s="67" t="n">
        <f aca="false">SUM(A6:B6)/$C$11</f>
        <v>0.15625</v>
      </c>
      <c r="L6" s="68" t="str">
        <f aca="false">'Journal de travail'!M8</f>
        <v>Analyse</v>
      </c>
      <c r="M6" s="69" t="str">
        <f aca="false">INT($F$2*N6)&amp;" h "&amp;TEXT(ROUND(MOD($F$2*N6,1)*60,0),"00")&amp;" m"</f>
        <v>18 h 00 m</v>
      </c>
      <c r="N6" s="70" t="n">
        <v>0.2</v>
      </c>
    </row>
    <row r="7" customFormat="false" ht="18.75" hidden="false" customHeight="false" outlineLevel="0" collapsed="false">
      <c r="A7" s="4" t="n">
        <f aca="false">SUMIF('Journal de travail'!$E$7:$E$532,Plannification!E7,'Journal de travail'!$C$7:$C$532)*60</f>
        <v>540</v>
      </c>
      <c r="B7" s="4" t="n">
        <f aca="false">SUMIF('Journal de travail'!$E$7:$E$532,Plannification!E7,'Journal de travail'!$D$7:$D$532)</f>
        <v>105</v>
      </c>
      <c r="C7" s="4" t="n">
        <f aca="false">SUM(A7:B7)</f>
        <v>645</v>
      </c>
      <c r="E7" s="71" t="str">
        <f aca="false">'Journal de travail'!M9</f>
        <v>Implémentation</v>
      </c>
      <c r="F7" s="72" t="str">
        <f aca="false">QUOTIENT(SUM(A7:B7),60)&amp;" h "&amp;TEXT(MOD(SUM(A7:B7),60), "00")&amp;" min"</f>
        <v>10 h 45 min</v>
      </c>
      <c r="G7" s="73" t="n">
        <f aca="false">SUM(A7:B7)/$C$11</f>
        <v>0.671875</v>
      </c>
      <c r="L7" s="74" t="str">
        <f aca="false">'Journal de travail'!M9</f>
        <v>Implémentation</v>
      </c>
      <c r="M7" s="69" t="str">
        <f aca="false">INT($F$2*N7)&amp;" h "&amp;TEXT(ROUND(MOD($F$2*N7,1)*60,0),"00")&amp;" m"</f>
        <v>31 h 30 m</v>
      </c>
      <c r="N7" s="75" t="n">
        <v>0.35</v>
      </c>
    </row>
    <row r="8" customFormat="false" ht="18.75" hidden="false" customHeight="false" outlineLevel="0" collapsed="false">
      <c r="A8" s="4" t="n">
        <f aca="false">SUMIF('Journal de travail'!$E$7:$E$532,Plannification!E8,'Journal de travail'!$C$7:$C$532)*60</f>
        <v>120</v>
      </c>
      <c r="B8" s="4" t="n">
        <f aca="false">SUMIF('Journal de travail'!$E$7:$E$532,Plannification!E8,'Journal de travail'!$D$7:$D$532)</f>
        <v>45</v>
      </c>
      <c r="C8" s="4" t="n">
        <f aca="false">SUM(A8:B8)</f>
        <v>165</v>
      </c>
      <c r="E8" s="76" t="str">
        <f aca="false">'Journal de travail'!M10</f>
        <v>Test</v>
      </c>
      <c r="F8" s="66" t="str">
        <f aca="false">QUOTIENT(SUM(A8:B8),60)&amp;" h "&amp;TEXT(MOD(SUM(A8:B8),60), "00")&amp;" min"</f>
        <v>2 h 45 min</v>
      </c>
      <c r="G8" s="67" t="n">
        <f aca="false">SUM(A8:B8)/$C$11</f>
        <v>0.171875</v>
      </c>
      <c r="L8" s="77" t="str">
        <f aca="false">'Journal de travail'!M10</f>
        <v>Test</v>
      </c>
      <c r="M8" s="69" t="str">
        <f aca="false">INT($F$2*N8)&amp;" h "&amp;TEXT(ROUND(MOD($F$2*N8,1)*60,0),"00")&amp;" m"</f>
        <v>4 h 30 m</v>
      </c>
      <c r="N8" s="70" t="n">
        <v>0.05</v>
      </c>
    </row>
    <row r="9" customFormat="false" ht="18.75" hidden="false" customHeight="false" outlineLevel="0" collapsed="false">
      <c r="A9" s="4" t="n">
        <f aca="false">SUMIF('Journal de travail'!$E$7:$E$532,Plannification!E9,'Journal de travail'!$C$7:$C$532)*60</f>
        <v>0</v>
      </c>
      <c r="B9" s="4" t="n">
        <f aca="false">SUMIF('Journal de travail'!$E$7:$E$532,Plannification!E9,'Journal de travail'!$D$7:$D$532)</f>
        <v>0</v>
      </c>
      <c r="C9" s="4" t="n">
        <f aca="false">SUM(A9:B9)</f>
        <v>0</v>
      </c>
      <c r="E9" s="78" t="str">
        <f aca="false">'Journal de travail'!M11</f>
        <v>Documentation</v>
      </c>
      <c r="F9" s="72" t="str">
        <f aca="false">QUOTIENT(SUM(A9:B9),60)&amp;" h "&amp;TEXT(MOD(SUM(A9:B9),60), "00")&amp;" min"</f>
        <v>0 h 00 min</v>
      </c>
      <c r="G9" s="73" t="n">
        <f aca="false">SUM(A9:B9)/$C$11</f>
        <v>0</v>
      </c>
      <c r="L9" s="79" t="str">
        <f aca="false">'Journal de travail'!M11</f>
        <v>Documentation</v>
      </c>
      <c r="M9" s="69" t="str">
        <f aca="false">INT($F$2*N9)&amp;" h "&amp;TEXT(ROUND(MOD($F$2*N9,1)*60,0),"00")&amp;" m"</f>
        <v>36 h 00 m</v>
      </c>
      <c r="N9" s="75" t="n">
        <v>0.4</v>
      </c>
    </row>
    <row r="10" customFormat="false" ht="18.75" hidden="true" customHeight="false" outlineLevel="0" collapsed="false">
      <c r="A10" s="4" t="n">
        <f aca="false">SUMIF('Journal de travail'!$E$7:$E$532,Plannification!E10,'Journal de travail'!$C$7:$C$532)*60</f>
        <v>0</v>
      </c>
      <c r="B10" s="4" t="n">
        <f aca="false">SUMIF('Journal de travail'!$E$7:$E$532,Plannification!E10,'Journal de travail'!$D$7:$D$532)</f>
        <v>0</v>
      </c>
      <c r="C10" s="4" t="n">
        <f aca="false">SUM(A10:B10)</f>
        <v>0</v>
      </c>
      <c r="E10" s="80" t="s">
        <v>27</v>
      </c>
      <c r="F10" s="81" t="str">
        <f aca="false">QUOTIENT(SUM(A10:B10),60)&amp;" h "&amp;TEXT(MOD(SUM(A10:B10),60), "00")&amp;" min"</f>
        <v>0 h 00 min</v>
      </c>
      <c r="G10" s="82" t="n">
        <f aca="false">SUM(A10:B10)/$C$11</f>
        <v>0</v>
      </c>
      <c r="L10" s="83" t="s">
        <v>27</v>
      </c>
      <c r="M10" s="69" t="str">
        <f aca="false">INT($F$2*N10)&amp;" h "&amp;TEXT(ROUND(MOD($F$2*N10,1)*60,0),"00")&amp;" m"</f>
        <v>0 h 00 m</v>
      </c>
      <c r="N10" s="84" t="n">
        <v>0</v>
      </c>
    </row>
    <row r="11" customFormat="false" ht="18.75" hidden="false" customHeight="false" outlineLevel="0" collapsed="false">
      <c r="A11" s="4" t="n">
        <f aca="false">SUM(A6:A10)</f>
        <v>720</v>
      </c>
      <c r="B11" s="4" t="n">
        <f aca="false">SUM(B6:B10)</f>
        <v>240</v>
      </c>
      <c r="C11" s="4" t="n">
        <f aca="false">SUM(A11:B11)</f>
        <v>960</v>
      </c>
      <c r="E11" s="85" t="s">
        <v>47</v>
      </c>
      <c r="F11" s="66" t="str">
        <f aca="false">QUOTIENT(SUM(A11:B11),60)&amp;" h "&amp;TEXT(MOD(SUM(A11:B11),60), "00")&amp;" min"</f>
        <v>16 h 00 min</v>
      </c>
      <c r="G11" s="86" t="n">
        <f aca="false">C11/C12</f>
        <v>0.177777777777778</v>
      </c>
      <c r="L11" s="87" t="s">
        <v>47</v>
      </c>
      <c r="M11" s="88"/>
      <c r="N11" s="89" t="n">
        <f aca="false">SUM(N6:N10)</f>
        <v>1</v>
      </c>
    </row>
    <row r="12" customFormat="false" ht="18.75" hidden="false" customHeight="false" outlineLevel="0" collapsed="false">
      <c r="C12" s="4" t="n">
        <f aca="false">F2*60</f>
        <v>5400</v>
      </c>
    </row>
    <row r="13" customFormat="false" ht="18.75" hidden="false" customHeight="false" outlineLevel="0" collapsed="false">
      <c r="F13" s="90"/>
    </row>
  </sheetData>
  <sheetProtection algorithmName="SHA-512" hashValue="u6Q3+o7a9rb9ajPGMQFXFJBxNR95C93y6qzzKCld0gZtCTYGL+7OMe+WbK2ki7xwzk+WSRqA9/xPSrIc7CBoPg==" saltValue="e1RdssACZUGVypOFgaRLDA==" spinCount="100000" sheet="true" objects="true" scenarios="true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R14" activeCellId="0" sqref="R14"/>
    </sheetView>
  </sheetViews>
  <sheetFormatPr defaultColWidth="10.4921875" defaultRowHeight="15.75" customHeight="false" zeroHeight="false" outlineLevelRow="0" outlineLevelCol="0"/>
  <sheetData/>
  <sheetProtection algorithmName="SHA-512" hashValue="hkKOZ8xr/Okjo/AJlNTtoGYYhES8sIn2fOpGKGGyPJqhNRzaMuj9V6Pke+VqLSypQTwaNPCt0dhRPEVp9CfBFA==" saltValue="lF/ApQWS3LBdJp0wgcNUcQ==" spinCount="100000" sheet="true" objects="true" scenarios="true" selectLockedCells="true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LibreOffice/26.2.6.3$Linux_AARCH64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2023-11-21T20:00:34Z</dcterms:created>
  <dc:creator>Mathieu Meylan</dc:creator>
  <dc:description/>
  <dc:language>en-US</dc:language>
  <cp:lastModifiedBy/>
  <dcterms:modified xsi:type="dcterms:W3CDTF">2026-10-27T20:23:38Z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0x01010080C9F2488912074FB587B9AD9ADAE5BB</vt:lpwstr>
  </property>
  <property fmtid="{D5CDD505-2E9C-101B-9397-08002B2CF9AE}" pid="3" name="MediaServiceImageTags">
    <vt:lpwstr/>
  </property>
</Properties>
</file>